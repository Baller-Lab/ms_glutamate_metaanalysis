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elenacooper/Desktop/MS_Meta_Analysis/Extraction/"/>
    </mc:Choice>
  </mc:AlternateContent>
  <xr:revisionPtr revIDLastSave="0" documentId="13_ncr:1_{9A59E12D-09B0-B644-A7F0-A500FEBCDD6B}" xr6:coauthVersionLast="47" xr6:coauthVersionMax="47" xr10:uidLastSave="{00000000-0000-0000-0000-000000000000}"/>
  <bookViews>
    <workbookView xWindow="0" yWindow="660" windowWidth="30240" windowHeight="17380" xr2:uid="{06CAFE0F-C84F-AD48-8EFA-8342FC96B28C}"/>
  </bookViews>
  <sheets>
    <sheet name="means, sd" sheetId="1" r:id="rId1"/>
    <sheet name="n size, t" sheetId="2" r:id="rId2"/>
    <sheet name="n size, p" sheetId="3" r:id="rId3"/>
    <sheet name="notes" sheetId="4" r:id="rId4"/>
  </sheets>
  <definedNames>
    <definedName name="_xlnm._FilterDatabase" localSheetId="0" hidden="1">'means, sd'!$A$1:$JU$189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G105" i="1" l="1"/>
  <c r="BG104" i="1"/>
  <c r="BD104" i="1"/>
  <c r="BD105" i="1"/>
  <c r="AO147" i="1"/>
  <c r="AO154" i="1"/>
  <c r="AO153" i="1"/>
  <c r="AO150" i="1"/>
  <c r="AO149" i="1"/>
  <c r="AO152" i="1"/>
  <c r="AO151" i="1"/>
  <c r="AO148" i="1"/>
  <c r="CX125" i="1"/>
  <c r="CX124" i="1"/>
  <c r="CW125" i="1"/>
  <c r="CW124" i="1"/>
  <c r="CV125" i="1"/>
  <c r="CV124" i="1"/>
  <c r="CU124" i="1"/>
  <c r="CU125" i="1"/>
  <c r="CW34" i="1"/>
  <c r="CX34" i="1"/>
  <c r="CV34" i="1"/>
  <c r="CU34" i="1"/>
  <c r="BG30" i="1" l="1"/>
  <c r="BD30" i="1"/>
  <c r="BD29" i="1"/>
  <c r="BG29" i="1"/>
  <c r="CV117" i="1"/>
  <c r="CT58" i="1"/>
  <c r="CS58" i="1"/>
  <c r="DE4" i="1"/>
  <c r="DG186" i="1"/>
  <c r="DE186" i="1"/>
  <c r="DD186" i="1"/>
  <c r="DB186" i="1"/>
  <c r="CY186" i="1"/>
  <c r="CZ186" i="1" s="1"/>
  <c r="BK186" i="1"/>
  <c r="DG185" i="1"/>
  <c r="DE185" i="1"/>
  <c r="DD185" i="1"/>
  <c r="DB185" i="1"/>
  <c r="CY185" i="1"/>
  <c r="CZ185" i="1" s="1"/>
  <c r="BK185" i="1"/>
  <c r="DG184" i="1"/>
  <c r="DE184" i="1"/>
  <c r="DD184" i="1"/>
  <c r="DB184" i="1"/>
  <c r="CY184" i="1"/>
  <c r="CZ184" i="1" s="1"/>
  <c r="BK184" i="1"/>
  <c r="DT182" i="1"/>
  <c r="DS182" i="1"/>
  <c r="DG182" i="1"/>
  <c r="DE182" i="1"/>
  <c r="DD182" i="1"/>
  <c r="DB182" i="1"/>
  <c r="CY182" i="1"/>
  <c r="CZ182" i="1" s="1"/>
  <c r="BK182" i="1"/>
  <c r="DT180" i="1"/>
  <c r="DS180" i="1"/>
  <c r="DG180" i="1"/>
  <c r="DE180" i="1"/>
  <c r="DD180" i="1"/>
  <c r="DB180" i="1"/>
  <c r="CY180" i="1"/>
  <c r="CZ180" i="1" s="1"/>
  <c r="BK180" i="1"/>
  <c r="DT179" i="1"/>
  <c r="DS179" i="1"/>
  <c r="DG179" i="1"/>
  <c r="DE179" i="1"/>
  <c r="DD179" i="1"/>
  <c r="DB179" i="1"/>
  <c r="CY179" i="1"/>
  <c r="CZ179" i="1" s="1"/>
  <c r="BK179" i="1"/>
  <c r="DT178" i="1"/>
  <c r="DS178" i="1"/>
  <c r="DG178" i="1"/>
  <c r="DE178" i="1"/>
  <c r="DD178" i="1"/>
  <c r="DB178" i="1"/>
  <c r="CY178" i="1"/>
  <c r="CZ178" i="1" s="1"/>
  <c r="BK178" i="1"/>
  <c r="DT177" i="1"/>
  <c r="DS177" i="1"/>
  <c r="DG177" i="1"/>
  <c r="DE177" i="1"/>
  <c r="DD177" i="1"/>
  <c r="DB177" i="1"/>
  <c r="CY177" i="1"/>
  <c r="CZ177" i="1" s="1"/>
  <c r="BK177" i="1"/>
  <c r="DT176" i="1"/>
  <c r="DS176" i="1"/>
  <c r="DG176" i="1"/>
  <c r="DE176" i="1"/>
  <c r="DD176" i="1"/>
  <c r="DB176" i="1"/>
  <c r="CY176" i="1"/>
  <c r="CZ176" i="1" s="1"/>
  <c r="BK176" i="1"/>
  <c r="DT175" i="1"/>
  <c r="DS175" i="1"/>
  <c r="DG175" i="1"/>
  <c r="DE175" i="1"/>
  <c r="DD175" i="1"/>
  <c r="DB175" i="1"/>
  <c r="CY175" i="1"/>
  <c r="CZ175" i="1" s="1"/>
  <c r="BK175" i="1"/>
  <c r="DT174" i="1"/>
  <c r="DS174" i="1"/>
  <c r="DG174" i="1"/>
  <c r="DE174" i="1"/>
  <c r="DD174" i="1"/>
  <c r="DB174" i="1"/>
  <c r="CY174" i="1"/>
  <c r="CZ174" i="1" s="1"/>
  <c r="BK174" i="1"/>
  <c r="DT173" i="1"/>
  <c r="DS173" i="1"/>
  <c r="DG173" i="1"/>
  <c r="DE173" i="1"/>
  <c r="DD173" i="1"/>
  <c r="DB173" i="1"/>
  <c r="CY173" i="1"/>
  <c r="CZ173" i="1" s="1"/>
  <c r="BK173" i="1"/>
  <c r="DT172" i="1"/>
  <c r="DS172" i="1"/>
  <c r="DG172" i="1"/>
  <c r="DE172" i="1"/>
  <c r="DD172" i="1"/>
  <c r="DB172" i="1"/>
  <c r="CY172" i="1"/>
  <c r="CZ172" i="1" s="1"/>
  <c r="BK172" i="1"/>
  <c r="DT171" i="1"/>
  <c r="DS171" i="1"/>
  <c r="DG171" i="1"/>
  <c r="DE171" i="1"/>
  <c r="DD171" i="1"/>
  <c r="DB171" i="1"/>
  <c r="CY171" i="1"/>
  <c r="CZ171" i="1" s="1"/>
  <c r="BK171" i="1"/>
  <c r="DT170" i="1"/>
  <c r="DS170" i="1"/>
  <c r="DG170" i="1"/>
  <c r="DE170" i="1"/>
  <c r="DD170" i="1"/>
  <c r="DB170" i="1"/>
  <c r="CY170" i="1"/>
  <c r="CZ170" i="1" s="1"/>
  <c r="BK170" i="1"/>
  <c r="DT169" i="1"/>
  <c r="DS169" i="1"/>
  <c r="DG169" i="1"/>
  <c r="DE169" i="1"/>
  <c r="DD169" i="1"/>
  <c r="DB169" i="1"/>
  <c r="CY169" i="1"/>
  <c r="CZ169" i="1" s="1"/>
  <c r="BK169" i="1"/>
  <c r="DT168" i="1"/>
  <c r="DS168" i="1"/>
  <c r="DG168" i="1"/>
  <c r="DE168" i="1"/>
  <c r="DD168" i="1"/>
  <c r="DB168" i="1"/>
  <c r="CY168" i="1"/>
  <c r="CZ168" i="1" s="1"/>
  <c r="BK168" i="1"/>
  <c r="DT167" i="1"/>
  <c r="DS167" i="1"/>
  <c r="DG167" i="1"/>
  <c r="DE167" i="1"/>
  <c r="DD167" i="1"/>
  <c r="DB167" i="1"/>
  <c r="CY167" i="1"/>
  <c r="CZ167" i="1" s="1"/>
  <c r="BK167" i="1"/>
  <c r="DT166" i="1"/>
  <c r="DS166" i="1"/>
  <c r="DG166" i="1"/>
  <c r="DE166" i="1"/>
  <c r="DD166" i="1"/>
  <c r="DB166" i="1"/>
  <c r="CY166" i="1"/>
  <c r="CZ166" i="1" s="1"/>
  <c r="BK166" i="1"/>
  <c r="DT165" i="1"/>
  <c r="DS165" i="1"/>
  <c r="DG165" i="1"/>
  <c r="DE165" i="1"/>
  <c r="DD165" i="1"/>
  <c r="DB165" i="1"/>
  <c r="CY165" i="1"/>
  <c r="CZ165" i="1" s="1"/>
  <c r="BK165" i="1"/>
  <c r="DT163" i="1"/>
  <c r="DS163" i="1"/>
  <c r="DJ163" i="1"/>
  <c r="DG163" i="1"/>
  <c r="DE163" i="1"/>
  <c r="DD163" i="1"/>
  <c r="DB163" i="1"/>
  <c r="CY163" i="1"/>
  <c r="CZ163" i="1" s="1"/>
  <c r="BK163" i="1"/>
  <c r="DT162" i="1"/>
  <c r="DS162" i="1"/>
  <c r="DJ162" i="1"/>
  <c r="DG162" i="1"/>
  <c r="DE162" i="1"/>
  <c r="DD162" i="1"/>
  <c r="DB162" i="1"/>
  <c r="CY162" i="1"/>
  <c r="CZ162" i="1" s="1"/>
  <c r="BK162" i="1"/>
  <c r="DT161" i="1"/>
  <c r="DS161" i="1"/>
  <c r="DG161" i="1"/>
  <c r="DE161" i="1"/>
  <c r="DD161" i="1"/>
  <c r="DB161" i="1"/>
  <c r="CU161" i="1"/>
  <c r="CY161" i="1" s="1"/>
  <c r="CZ161" i="1" s="1"/>
  <c r="BK161" i="1"/>
  <c r="DT160" i="1"/>
  <c r="DS160" i="1"/>
  <c r="DG160" i="1"/>
  <c r="DE160" i="1"/>
  <c r="DD160" i="1"/>
  <c r="DB160" i="1"/>
  <c r="CY160" i="1"/>
  <c r="CZ160" i="1" s="1"/>
  <c r="CS160" i="1"/>
  <c r="BK160" i="1"/>
  <c r="DT159" i="1"/>
  <c r="DS159" i="1"/>
  <c r="DG159" i="1"/>
  <c r="DE159" i="1"/>
  <c r="DD159" i="1"/>
  <c r="DB159" i="1"/>
  <c r="CY159" i="1"/>
  <c r="CZ159" i="1" s="1"/>
  <c r="BK159" i="1"/>
  <c r="DT158" i="1"/>
  <c r="DS158" i="1"/>
  <c r="DG158" i="1"/>
  <c r="DE158" i="1"/>
  <c r="DD158" i="1"/>
  <c r="DB158" i="1"/>
  <c r="CY158" i="1"/>
  <c r="CZ158" i="1" s="1"/>
  <c r="BK158" i="1"/>
  <c r="DT157" i="1"/>
  <c r="DS157" i="1"/>
  <c r="DG157" i="1"/>
  <c r="DE157" i="1"/>
  <c r="DD157" i="1"/>
  <c r="DB157" i="1"/>
  <c r="CY157" i="1"/>
  <c r="CZ157" i="1" s="1"/>
  <c r="BK157" i="1"/>
  <c r="DT156" i="1"/>
  <c r="DS156" i="1"/>
  <c r="DG156" i="1"/>
  <c r="DE156" i="1"/>
  <c r="DD156" i="1"/>
  <c r="DB156" i="1"/>
  <c r="CY156" i="1"/>
  <c r="CZ156" i="1" s="1"/>
  <c r="BK156" i="1"/>
  <c r="DT154" i="1"/>
  <c r="DS154" i="1"/>
  <c r="DG154" i="1"/>
  <c r="DE154" i="1"/>
  <c r="DD154" i="1"/>
  <c r="DB154" i="1"/>
  <c r="CX154" i="1"/>
  <c r="CW154" i="1"/>
  <c r="CV154" i="1"/>
  <c r="CU154" i="1"/>
  <c r="CT154" i="1"/>
  <c r="CS154" i="1"/>
  <c r="BK154" i="1"/>
  <c r="DT153" i="1"/>
  <c r="DS153" i="1"/>
  <c r="DG153" i="1"/>
  <c r="DE153" i="1"/>
  <c r="DD153" i="1"/>
  <c r="DB153" i="1"/>
  <c r="CX153" i="1"/>
  <c r="CW153" i="1"/>
  <c r="CV153" i="1"/>
  <c r="CU153" i="1"/>
  <c r="CT153" i="1"/>
  <c r="CS153" i="1"/>
  <c r="BK153" i="1"/>
  <c r="DT152" i="1"/>
  <c r="DS152" i="1"/>
  <c r="DG152" i="1"/>
  <c r="DE152" i="1"/>
  <c r="DD152" i="1"/>
  <c r="DB152" i="1"/>
  <c r="CX152" i="1"/>
  <c r="CW152" i="1"/>
  <c r="CV152" i="1"/>
  <c r="CU152" i="1"/>
  <c r="CT152" i="1"/>
  <c r="CS152" i="1"/>
  <c r="BK152" i="1"/>
  <c r="DT151" i="1"/>
  <c r="DS151" i="1"/>
  <c r="DG151" i="1"/>
  <c r="DE151" i="1"/>
  <c r="DD151" i="1"/>
  <c r="DB151" i="1"/>
  <c r="CX151" i="1"/>
  <c r="CW151" i="1"/>
  <c r="CV151" i="1"/>
  <c r="CU151" i="1"/>
  <c r="CT151" i="1"/>
  <c r="CS151" i="1"/>
  <c r="BK151" i="1"/>
  <c r="DT150" i="1"/>
  <c r="DS150" i="1"/>
  <c r="DG150" i="1"/>
  <c r="DE150" i="1"/>
  <c r="DD150" i="1"/>
  <c r="DB150" i="1"/>
  <c r="CX150" i="1"/>
  <c r="CW150" i="1"/>
  <c r="CV150" i="1"/>
  <c r="CU150" i="1"/>
  <c r="CT150" i="1"/>
  <c r="CS150" i="1"/>
  <c r="BK150" i="1"/>
  <c r="DT149" i="1"/>
  <c r="DS149" i="1"/>
  <c r="DG149" i="1"/>
  <c r="DE149" i="1"/>
  <c r="DD149" i="1"/>
  <c r="DB149" i="1"/>
  <c r="CX149" i="1"/>
  <c r="CW149" i="1"/>
  <c r="CV149" i="1"/>
  <c r="CU149" i="1"/>
  <c r="CT149" i="1"/>
  <c r="CS149" i="1"/>
  <c r="BK149" i="1"/>
  <c r="DT148" i="1"/>
  <c r="DS148" i="1"/>
  <c r="DG148" i="1"/>
  <c r="DE148" i="1"/>
  <c r="DD148" i="1"/>
  <c r="DB148" i="1"/>
  <c r="CX148" i="1"/>
  <c r="CW148" i="1"/>
  <c r="CV148" i="1"/>
  <c r="CU148" i="1"/>
  <c r="CT148" i="1"/>
  <c r="CS148" i="1"/>
  <c r="BK148" i="1"/>
  <c r="DT147" i="1"/>
  <c r="DS147" i="1"/>
  <c r="DG147" i="1"/>
  <c r="DE147" i="1"/>
  <c r="DD147" i="1"/>
  <c r="DB147" i="1"/>
  <c r="CX147" i="1"/>
  <c r="CW147" i="1"/>
  <c r="CV147" i="1"/>
  <c r="CU147" i="1"/>
  <c r="CT147" i="1"/>
  <c r="CS147" i="1"/>
  <c r="BK147" i="1"/>
  <c r="DJ145" i="1"/>
  <c r="DI145" i="1" s="1"/>
  <c r="DG145" i="1"/>
  <c r="DD145" i="1"/>
  <c r="DB145" i="1"/>
  <c r="BK145" i="1"/>
  <c r="DJ144" i="1"/>
  <c r="DI144" i="1" s="1"/>
  <c r="DG144" i="1"/>
  <c r="DD144" i="1"/>
  <c r="DB144" i="1"/>
  <c r="BK144" i="1"/>
  <c r="DJ143" i="1"/>
  <c r="DI143" i="1" s="1"/>
  <c r="DG143" i="1"/>
  <c r="DD143" i="1"/>
  <c r="DB143" i="1"/>
  <c r="BK143" i="1"/>
  <c r="DJ142" i="1"/>
  <c r="DG142" i="1"/>
  <c r="DE142" i="1"/>
  <c r="DD142" i="1"/>
  <c r="DB142" i="1"/>
  <c r="CY142" i="1"/>
  <c r="CZ142" i="1" s="1"/>
  <c r="BK142" i="1"/>
  <c r="DJ141" i="1"/>
  <c r="DG141" i="1"/>
  <c r="DE141" i="1"/>
  <c r="DD141" i="1"/>
  <c r="DB141" i="1"/>
  <c r="CY141" i="1"/>
  <c r="CZ141" i="1" s="1"/>
  <c r="BK141" i="1"/>
  <c r="DJ140" i="1"/>
  <c r="DG140" i="1"/>
  <c r="DE140" i="1"/>
  <c r="DD140" i="1"/>
  <c r="DB140" i="1"/>
  <c r="CY140" i="1"/>
  <c r="CZ140" i="1" s="1"/>
  <c r="BK140" i="1"/>
  <c r="DJ139" i="1"/>
  <c r="DG139" i="1"/>
  <c r="DE139" i="1"/>
  <c r="DD139" i="1"/>
  <c r="DB139" i="1"/>
  <c r="CY139" i="1"/>
  <c r="CZ139" i="1" s="1"/>
  <c r="BK139" i="1"/>
  <c r="DJ138" i="1"/>
  <c r="DG138" i="1"/>
  <c r="DE138" i="1"/>
  <c r="DD138" i="1"/>
  <c r="DB138" i="1"/>
  <c r="CY138" i="1"/>
  <c r="CZ138" i="1" s="1"/>
  <c r="BK138" i="1"/>
  <c r="DJ137" i="1"/>
  <c r="DG137" i="1"/>
  <c r="DE137" i="1"/>
  <c r="DD137" i="1"/>
  <c r="DB137" i="1"/>
  <c r="CY137" i="1"/>
  <c r="CZ137" i="1" s="1"/>
  <c r="BU137" i="1"/>
  <c r="BK137" i="1"/>
  <c r="DJ135" i="1"/>
  <c r="DI135" i="1" s="1"/>
  <c r="DG135" i="1"/>
  <c r="DE135" i="1"/>
  <c r="DD135" i="1"/>
  <c r="DB135" i="1"/>
  <c r="CY135" i="1"/>
  <c r="CZ135" i="1" s="1"/>
  <c r="BK135" i="1"/>
  <c r="DJ134" i="1"/>
  <c r="DI134" i="1" s="1"/>
  <c r="DG134" i="1"/>
  <c r="DE134" i="1"/>
  <c r="DD134" i="1"/>
  <c r="DB134" i="1"/>
  <c r="CY134" i="1"/>
  <c r="CZ134" i="1" s="1"/>
  <c r="BK134" i="1"/>
  <c r="DJ133" i="1"/>
  <c r="DI133" i="1" s="1"/>
  <c r="DG133" i="1"/>
  <c r="DE133" i="1"/>
  <c r="DD133" i="1"/>
  <c r="DB133" i="1"/>
  <c r="CY133" i="1"/>
  <c r="CZ133" i="1" s="1"/>
  <c r="BK133" i="1"/>
  <c r="DJ132" i="1"/>
  <c r="DI132" i="1" s="1"/>
  <c r="DG132" i="1"/>
  <c r="DE132" i="1"/>
  <c r="DD132" i="1"/>
  <c r="DB132" i="1"/>
  <c r="CY132" i="1"/>
  <c r="CZ132" i="1" s="1"/>
  <c r="BK132" i="1"/>
  <c r="DJ131" i="1"/>
  <c r="DI131" i="1" s="1"/>
  <c r="DG131" i="1"/>
  <c r="DE131" i="1"/>
  <c r="DD131" i="1"/>
  <c r="DB131" i="1"/>
  <c r="CY131" i="1"/>
  <c r="CZ131" i="1" s="1"/>
  <c r="BK131" i="1"/>
  <c r="DJ130" i="1"/>
  <c r="DI130" i="1" s="1"/>
  <c r="DG130" i="1"/>
  <c r="DE130" i="1"/>
  <c r="DD130" i="1"/>
  <c r="DB130" i="1"/>
  <c r="CY130" i="1"/>
  <c r="CZ130" i="1" s="1"/>
  <c r="BK130" i="1"/>
  <c r="DT128" i="1"/>
  <c r="DS128" i="1"/>
  <c r="DG128" i="1"/>
  <c r="DE128" i="1"/>
  <c r="DD128" i="1"/>
  <c r="DB128" i="1"/>
  <c r="CY128" i="1"/>
  <c r="CZ128" i="1" s="1"/>
  <c r="BK128" i="1"/>
  <c r="DT127" i="1"/>
  <c r="DS127" i="1"/>
  <c r="DG127" i="1"/>
  <c r="DE127" i="1"/>
  <c r="DD127" i="1"/>
  <c r="DB127" i="1"/>
  <c r="CY127" i="1"/>
  <c r="CZ127" i="1" s="1"/>
  <c r="BK127" i="1"/>
  <c r="DT125" i="1"/>
  <c r="DS125" i="1"/>
  <c r="DG125" i="1"/>
  <c r="DE125" i="1"/>
  <c r="CY125" i="1"/>
  <c r="CZ125" i="1" s="1"/>
  <c r="BK125" i="1"/>
  <c r="DT124" i="1"/>
  <c r="DS124" i="1"/>
  <c r="DG124" i="1"/>
  <c r="DE124" i="1"/>
  <c r="CY124" i="1"/>
  <c r="CZ124" i="1" s="1"/>
  <c r="BK124" i="1"/>
  <c r="DG122" i="1"/>
  <c r="DE122" i="1"/>
  <c r="CY122" i="1"/>
  <c r="CZ122" i="1" s="1"/>
  <c r="BK122" i="1"/>
  <c r="DG121" i="1"/>
  <c r="DE121" i="1"/>
  <c r="CY121" i="1"/>
  <c r="CZ121" i="1" s="1"/>
  <c r="BK121" i="1"/>
  <c r="DG120" i="1"/>
  <c r="DE120" i="1"/>
  <c r="CY120" i="1"/>
  <c r="CZ120" i="1" s="1"/>
  <c r="BK120" i="1"/>
  <c r="DG119" i="1"/>
  <c r="DE119" i="1"/>
  <c r="CY119" i="1"/>
  <c r="CZ119" i="1" s="1"/>
  <c r="BK119" i="1"/>
  <c r="DT117" i="1"/>
  <c r="DS117" i="1"/>
  <c r="DG117" i="1"/>
  <c r="DE117" i="1"/>
  <c r="DD117" i="1"/>
  <c r="DB117" i="1"/>
  <c r="CX117" i="1"/>
  <c r="CW117" i="1"/>
  <c r="CU117" i="1"/>
  <c r="CT117" i="1"/>
  <c r="CS117" i="1"/>
  <c r="BK117" i="1"/>
  <c r="DT116" i="1"/>
  <c r="DS116" i="1"/>
  <c r="DG116" i="1"/>
  <c r="DE116" i="1"/>
  <c r="DD116" i="1"/>
  <c r="DB116" i="1"/>
  <c r="CX116" i="1"/>
  <c r="CW116" i="1"/>
  <c r="CV116" i="1"/>
  <c r="CU116" i="1"/>
  <c r="CT116" i="1"/>
  <c r="CS116" i="1"/>
  <c r="BK116" i="1"/>
  <c r="DT114" i="1"/>
  <c r="DS114" i="1"/>
  <c r="DG114" i="1"/>
  <c r="DE114" i="1"/>
  <c r="DD114" i="1"/>
  <c r="DB114" i="1"/>
  <c r="CY114" i="1"/>
  <c r="CZ114" i="1" s="1"/>
  <c r="DT113" i="1"/>
  <c r="DS113" i="1"/>
  <c r="DG113" i="1"/>
  <c r="DE113" i="1"/>
  <c r="DD113" i="1"/>
  <c r="DB113" i="1"/>
  <c r="CY113" i="1"/>
  <c r="CZ113" i="1" s="1"/>
  <c r="DT112" i="1"/>
  <c r="DS112" i="1"/>
  <c r="DG112" i="1"/>
  <c r="DE112" i="1"/>
  <c r="DD112" i="1"/>
  <c r="DB112" i="1"/>
  <c r="CY112" i="1"/>
  <c r="CZ112" i="1" s="1"/>
  <c r="DT111" i="1"/>
  <c r="DS111" i="1"/>
  <c r="DG111" i="1"/>
  <c r="DE111" i="1"/>
  <c r="DD111" i="1"/>
  <c r="DB111" i="1"/>
  <c r="CY111" i="1"/>
  <c r="CZ111" i="1" s="1"/>
  <c r="DT110" i="1"/>
  <c r="DS110" i="1"/>
  <c r="DG110" i="1"/>
  <c r="DE110" i="1"/>
  <c r="DD110" i="1"/>
  <c r="DB110" i="1"/>
  <c r="CY110" i="1"/>
  <c r="CZ110" i="1" s="1"/>
  <c r="DT109" i="1"/>
  <c r="DS109" i="1"/>
  <c r="DG109" i="1"/>
  <c r="DE109" i="1"/>
  <c r="DD109" i="1"/>
  <c r="DB109" i="1"/>
  <c r="CY109" i="1"/>
  <c r="CZ109" i="1" s="1"/>
  <c r="DT108" i="1"/>
  <c r="DS108" i="1"/>
  <c r="DG108" i="1"/>
  <c r="DE108" i="1"/>
  <c r="DD108" i="1"/>
  <c r="DB108" i="1"/>
  <c r="CY108" i="1"/>
  <c r="CZ108" i="1" s="1"/>
  <c r="DT107" i="1"/>
  <c r="DS107" i="1"/>
  <c r="DG107" i="1"/>
  <c r="DE107" i="1"/>
  <c r="DD107" i="1"/>
  <c r="DB107" i="1"/>
  <c r="CY107" i="1"/>
  <c r="CZ107" i="1" s="1"/>
  <c r="HD105" i="1"/>
  <c r="HC105" i="1"/>
  <c r="HB105" i="1"/>
  <c r="HA105" i="1"/>
  <c r="DT105" i="1"/>
  <c r="DS105" i="1"/>
  <c r="DG105" i="1"/>
  <c r="DE105" i="1"/>
  <c r="DD105" i="1"/>
  <c r="DB105" i="1"/>
  <c r="CY105" i="1"/>
  <c r="CZ105" i="1" s="1"/>
  <c r="BK105" i="1"/>
  <c r="HD104" i="1"/>
  <c r="HC104" i="1"/>
  <c r="HB104" i="1"/>
  <c r="HA104" i="1"/>
  <c r="DT104" i="1"/>
  <c r="DS104" i="1"/>
  <c r="DG104" i="1"/>
  <c r="DE104" i="1"/>
  <c r="DD104" i="1"/>
  <c r="DB104" i="1"/>
  <c r="CY104" i="1"/>
  <c r="CZ104" i="1" s="1"/>
  <c r="BK104" i="1"/>
  <c r="DT102" i="1"/>
  <c r="DS102" i="1"/>
  <c r="DG102" i="1"/>
  <c r="DE102" i="1"/>
  <c r="DD102" i="1"/>
  <c r="DB102" i="1"/>
  <c r="CY102" i="1"/>
  <c r="CZ102" i="1" s="1"/>
  <c r="BK102" i="1"/>
  <c r="DT101" i="1"/>
  <c r="DS101" i="1"/>
  <c r="DG101" i="1"/>
  <c r="DD101" i="1"/>
  <c r="DB101" i="1"/>
  <c r="CY101" i="1"/>
  <c r="CZ101" i="1" s="1"/>
  <c r="BK101" i="1"/>
  <c r="DT100" i="1"/>
  <c r="DS100" i="1"/>
  <c r="DG100" i="1"/>
  <c r="DD100" i="1"/>
  <c r="DB100" i="1"/>
  <c r="CY100" i="1"/>
  <c r="CZ100" i="1" s="1"/>
  <c r="BK100" i="1"/>
  <c r="DT99" i="1"/>
  <c r="DS99" i="1"/>
  <c r="DG99" i="1"/>
  <c r="DE99" i="1"/>
  <c r="DD99" i="1"/>
  <c r="DB99" i="1"/>
  <c r="CY99" i="1"/>
  <c r="CZ99" i="1" s="1"/>
  <c r="BK99" i="1"/>
  <c r="DT98" i="1"/>
  <c r="DS98" i="1"/>
  <c r="DG98" i="1"/>
  <c r="DD98" i="1"/>
  <c r="DB98" i="1"/>
  <c r="CY98" i="1"/>
  <c r="CZ98" i="1" s="1"/>
  <c r="BK98" i="1"/>
  <c r="DT97" i="1"/>
  <c r="DS97" i="1"/>
  <c r="DG97" i="1"/>
  <c r="DD97" i="1"/>
  <c r="DB97" i="1"/>
  <c r="CY97" i="1"/>
  <c r="CZ97" i="1" s="1"/>
  <c r="BK97" i="1"/>
  <c r="DT96" i="1"/>
  <c r="DS96" i="1"/>
  <c r="DG96" i="1"/>
  <c r="DE96" i="1"/>
  <c r="DD96" i="1"/>
  <c r="DB96" i="1"/>
  <c r="CY96" i="1"/>
  <c r="CZ96" i="1" s="1"/>
  <c r="BK96" i="1"/>
  <c r="DT95" i="1"/>
  <c r="DS95" i="1"/>
  <c r="DG95" i="1"/>
  <c r="DD95" i="1"/>
  <c r="DB95" i="1"/>
  <c r="CY95" i="1"/>
  <c r="CZ95" i="1" s="1"/>
  <c r="BK95" i="1"/>
  <c r="DT94" i="1"/>
  <c r="DS94" i="1"/>
  <c r="DG94" i="1"/>
  <c r="DD94" i="1"/>
  <c r="DB94" i="1"/>
  <c r="CY94" i="1"/>
  <c r="CZ94" i="1" s="1"/>
  <c r="BK94" i="1"/>
  <c r="DT93" i="1"/>
  <c r="DS93" i="1"/>
  <c r="DG93" i="1"/>
  <c r="DE93" i="1"/>
  <c r="DD93" i="1"/>
  <c r="DB93" i="1"/>
  <c r="CY93" i="1"/>
  <c r="CZ93" i="1" s="1"/>
  <c r="BK93" i="1"/>
  <c r="DT92" i="1"/>
  <c r="DS92" i="1"/>
  <c r="DG92" i="1"/>
  <c r="DD92" i="1"/>
  <c r="DB92" i="1"/>
  <c r="CY92" i="1"/>
  <c r="CZ92" i="1" s="1"/>
  <c r="BK92" i="1"/>
  <c r="DT91" i="1"/>
  <c r="DS91" i="1"/>
  <c r="DG91" i="1"/>
  <c r="DD91" i="1"/>
  <c r="DB91" i="1"/>
  <c r="CY91" i="1"/>
  <c r="CZ91" i="1" s="1"/>
  <c r="BK91" i="1"/>
  <c r="DT90" i="1"/>
  <c r="DS90" i="1"/>
  <c r="DG90" i="1"/>
  <c r="DE90" i="1"/>
  <c r="DD90" i="1"/>
  <c r="DB90" i="1"/>
  <c r="CY90" i="1"/>
  <c r="CZ90" i="1" s="1"/>
  <c r="BK90" i="1"/>
  <c r="DT89" i="1"/>
  <c r="DS89" i="1"/>
  <c r="DG89" i="1"/>
  <c r="DD89" i="1"/>
  <c r="DB89" i="1"/>
  <c r="CY89" i="1"/>
  <c r="CZ89" i="1" s="1"/>
  <c r="BK89" i="1"/>
  <c r="DT88" i="1"/>
  <c r="DS88" i="1"/>
  <c r="DG88" i="1"/>
  <c r="DD88" i="1"/>
  <c r="DB88" i="1"/>
  <c r="CY88" i="1"/>
  <c r="CZ88" i="1" s="1"/>
  <c r="BK88" i="1"/>
  <c r="DT87" i="1"/>
  <c r="DS87" i="1"/>
  <c r="DG87" i="1"/>
  <c r="DE87" i="1"/>
  <c r="DD87" i="1"/>
  <c r="DB87" i="1"/>
  <c r="CY87" i="1"/>
  <c r="CZ87" i="1" s="1"/>
  <c r="BK87" i="1"/>
  <c r="DT86" i="1"/>
  <c r="DS86" i="1"/>
  <c r="DG86" i="1"/>
  <c r="DD86" i="1"/>
  <c r="DB86" i="1"/>
  <c r="CY86" i="1"/>
  <c r="CZ86" i="1" s="1"/>
  <c r="BK86" i="1"/>
  <c r="DT85" i="1"/>
  <c r="DS85" i="1"/>
  <c r="DG85" i="1"/>
  <c r="DD85" i="1"/>
  <c r="DB85" i="1"/>
  <c r="CY85" i="1"/>
  <c r="CZ85" i="1" s="1"/>
  <c r="BK85" i="1"/>
  <c r="DT84" i="1"/>
  <c r="DS84" i="1"/>
  <c r="DG84" i="1"/>
  <c r="DE84" i="1"/>
  <c r="DD84" i="1"/>
  <c r="DB84" i="1"/>
  <c r="CY84" i="1"/>
  <c r="CZ84" i="1" s="1"/>
  <c r="BK84" i="1"/>
  <c r="DT83" i="1"/>
  <c r="DS83" i="1"/>
  <c r="DG83" i="1"/>
  <c r="DD83" i="1"/>
  <c r="DB83" i="1"/>
  <c r="CY83" i="1"/>
  <c r="CZ83" i="1" s="1"/>
  <c r="BK83" i="1"/>
  <c r="DT82" i="1"/>
  <c r="DS82" i="1"/>
  <c r="DG82" i="1"/>
  <c r="DD82" i="1"/>
  <c r="DB82" i="1"/>
  <c r="CY82" i="1"/>
  <c r="CZ82" i="1" s="1"/>
  <c r="BK82" i="1"/>
  <c r="DT81" i="1"/>
  <c r="DS81" i="1"/>
  <c r="DG81" i="1"/>
  <c r="DE81" i="1"/>
  <c r="DD81" i="1"/>
  <c r="DB81" i="1"/>
  <c r="CY81" i="1"/>
  <c r="CZ81" i="1" s="1"/>
  <c r="BK81" i="1"/>
  <c r="DT80" i="1"/>
  <c r="DS80" i="1"/>
  <c r="DG80" i="1"/>
  <c r="DD80" i="1"/>
  <c r="DB80" i="1"/>
  <c r="CY80" i="1"/>
  <c r="CZ80" i="1" s="1"/>
  <c r="BK80" i="1"/>
  <c r="DT79" i="1"/>
  <c r="DS79" i="1"/>
  <c r="DG79" i="1"/>
  <c r="DD79" i="1"/>
  <c r="DB79" i="1"/>
  <c r="CY79" i="1"/>
  <c r="CZ79" i="1" s="1"/>
  <c r="BK79" i="1"/>
  <c r="DT77" i="1"/>
  <c r="DS77" i="1"/>
  <c r="DG77" i="1"/>
  <c r="DE77" i="1"/>
  <c r="DD77" i="1"/>
  <c r="DB77" i="1"/>
  <c r="CY77" i="1"/>
  <c r="CZ77" i="1" s="1"/>
  <c r="CT77" i="1"/>
  <c r="CS77" i="1"/>
  <c r="DT76" i="1"/>
  <c r="DS76" i="1"/>
  <c r="DG76" i="1"/>
  <c r="DE76" i="1"/>
  <c r="DD76" i="1"/>
  <c r="DB76" i="1"/>
  <c r="CY76" i="1"/>
  <c r="CZ76" i="1" s="1"/>
  <c r="CT76" i="1"/>
  <c r="CS76" i="1"/>
  <c r="DT75" i="1"/>
  <c r="DS75" i="1"/>
  <c r="DG75" i="1"/>
  <c r="DE75" i="1"/>
  <c r="DD75" i="1"/>
  <c r="DB75" i="1"/>
  <c r="CY75" i="1"/>
  <c r="CZ75" i="1" s="1"/>
  <c r="CT75" i="1"/>
  <c r="CS75" i="1"/>
  <c r="DT74" i="1"/>
  <c r="DS74" i="1"/>
  <c r="DG74" i="1"/>
  <c r="DE74" i="1"/>
  <c r="DD74" i="1"/>
  <c r="DB74" i="1"/>
  <c r="CY74" i="1"/>
  <c r="CZ74" i="1" s="1"/>
  <c r="CT74" i="1"/>
  <c r="CS74" i="1"/>
  <c r="DG72" i="1"/>
  <c r="DE72" i="1"/>
  <c r="DD72" i="1"/>
  <c r="DB72" i="1"/>
  <c r="CY72" i="1"/>
  <c r="CZ72" i="1" s="1"/>
  <c r="BK72" i="1"/>
  <c r="DG71" i="1"/>
  <c r="DE71" i="1"/>
  <c r="DD71" i="1"/>
  <c r="DB71" i="1"/>
  <c r="CY71" i="1"/>
  <c r="CZ71" i="1" s="1"/>
  <c r="BK71" i="1"/>
  <c r="DG70" i="1"/>
  <c r="DE70" i="1"/>
  <c r="DD70" i="1"/>
  <c r="DB70" i="1"/>
  <c r="CY70" i="1"/>
  <c r="CZ70" i="1" s="1"/>
  <c r="BK70" i="1"/>
  <c r="DG69" i="1"/>
  <c r="DE69" i="1"/>
  <c r="DD69" i="1"/>
  <c r="DB69" i="1"/>
  <c r="CY69" i="1"/>
  <c r="CZ69" i="1" s="1"/>
  <c r="BK69" i="1"/>
  <c r="DG68" i="1"/>
  <c r="DE68" i="1"/>
  <c r="DD68" i="1"/>
  <c r="DB68" i="1"/>
  <c r="CY68" i="1"/>
  <c r="CZ68" i="1" s="1"/>
  <c r="BK68" i="1"/>
  <c r="DG67" i="1"/>
  <c r="DE67" i="1"/>
  <c r="DD67" i="1"/>
  <c r="DB67" i="1"/>
  <c r="CY67" i="1"/>
  <c r="CZ67" i="1" s="1"/>
  <c r="BK67" i="1"/>
  <c r="DG65" i="1"/>
  <c r="DE65" i="1"/>
  <c r="DD65" i="1"/>
  <c r="DB65" i="1"/>
  <c r="CY65" i="1"/>
  <c r="CZ65" i="1" s="1"/>
  <c r="BK65" i="1"/>
  <c r="DG64" i="1"/>
  <c r="DE64" i="1"/>
  <c r="DD64" i="1"/>
  <c r="DB64" i="1"/>
  <c r="CY64" i="1"/>
  <c r="CZ64" i="1" s="1"/>
  <c r="BK64" i="1"/>
  <c r="DG62" i="1"/>
  <c r="DE62" i="1"/>
  <c r="DD62" i="1"/>
  <c r="DB62" i="1"/>
  <c r="CY62" i="1"/>
  <c r="CZ62" i="1" s="1"/>
  <c r="BK62" i="1"/>
  <c r="DG61" i="1"/>
  <c r="DE61" i="1"/>
  <c r="DD61" i="1"/>
  <c r="DB61" i="1"/>
  <c r="CY61" i="1"/>
  <c r="CZ61" i="1" s="1"/>
  <c r="BK61" i="1"/>
  <c r="DJ59" i="1"/>
  <c r="DI59" i="1"/>
  <c r="DG59" i="1"/>
  <c r="DE59" i="1"/>
  <c r="DD59" i="1"/>
  <c r="DB59" i="1"/>
  <c r="CY59" i="1"/>
  <c r="CZ59" i="1" s="1"/>
  <c r="CT59" i="1"/>
  <c r="CS59" i="1"/>
  <c r="BK59" i="1"/>
  <c r="DJ58" i="1"/>
  <c r="DI58" i="1"/>
  <c r="DG58" i="1"/>
  <c r="DE58" i="1"/>
  <c r="DD58" i="1"/>
  <c r="DB58" i="1"/>
  <c r="CY58" i="1"/>
  <c r="CZ58" i="1" s="1"/>
  <c r="BK58" i="1"/>
  <c r="DJ57" i="1"/>
  <c r="DI57" i="1"/>
  <c r="DG57" i="1"/>
  <c r="DE57" i="1"/>
  <c r="DD57" i="1"/>
  <c r="DB57" i="1"/>
  <c r="CY57" i="1"/>
  <c r="CZ57" i="1" s="1"/>
  <c r="CT57" i="1"/>
  <c r="CS57" i="1"/>
  <c r="BK57" i="1"/>
  <c r="DJ56" i="1"/>
  <c r="DI56" i="1"/>
  <c r="DG56" i="1"/>
  <c r="DE56" i="1"/>
  <c r="DD56" i="1"/>
  <c r="DB56" i="1"/>
  <c r="CY56" i="1"/>
  <c r="CZ56" i="1" s="1"/>
  <c r="CT56" i="1"/>
  <c r="CS56" i="1"/>
  <c r="BK56" i="1"/>
  <c r="DT54" i="1"/>
  <c r="DS54" i="1"/>
  <c r="DG54" i="1"/>
  <c r="DD54" i="1"/>
  <c r="DB54" i="1"/>
  <c r="CY54" i="1"/>
  <c r="CZ54" i="1" s="1"/>
  <c r="DT53" i="1"/>
  <c r="DS53" i="1"/>
  <c r="DG53" i="1"/>
  <c r="DD53" i="1"/>
  <c r="DB53" i="1"/>
  <c r="CY53" i="1"/>
  <c r="CZ53" i="1" s="1"/>
  <c r="DT52" i="1"/>
  <c r="DS52" i="1"/>
  <c r="DG52" i="1"/>
  <c r="DD52" i="1"/>
  <c r="DB52" i="1"/>
  <c r="CY52" i="1"/>
  <c r="CZ52" i="1" s="1"/>
  <c r="DT51" i="1"/>
  <c r="DS51" i="1"/>
  <c r="DG51" i="1"/>
  <c r="DD51" i="1"/>
  <c r="DB51" i="1"/>
  <c r="CY51" i="1"/>
  <c r="CZ51" i="1" s="1"/>
  <c r="DG49" i="1"/>
  <c r="DE49" i="1"/>
  <c r="DD49" i="1"/>
  <c r="DB49" i="1"/>
  <c r="CY49" i="1"/>
  <c r="CZ49" i="1" s="1"/>
  <c r="BK49" i="1"/>
  <c r="DG48" i="1"/>
  <c r="DE48" i="1"/>
  <c r="DD48" i="1"/>
  <c r="DB48" i="1"/>
  <c r="CY48" i="1"/>
  <c r="CZ48" i="1" s="1"/>
  <c r="BK48" i="1"/>
  <c r="DG46" i="1"/>
  <c r="DD46" i="1"/>
  <c r="DB46" i="1"/>
  <c r="CY46" i="1"/>
  <c r="CZ46" i="1" s="1"/>
  <c r="BK46" i="1"/>
  <c r="DG45" i="1"/>
  <c r="DD45" i="1"/>
  <c r="DB45" i="1"/>
  <c r="CY45" i="1"/>
  <c r="CZ45" i="1" s="1"/>
  <c r="BK45" i="1"/>
  <c r="DG44" i="1"/>
  <c r="DD44" i="1"/>
  <c r="DB44" i="1"/>
  <c r="CY44" i="1"/>
  <c r="CZ44" i="1" s="1"/>
  <c r="BK44" i="1"/>
  <c r="DG43" i="1"/>
  <c r="DD43" i="1"/>
  <c r="DB43" i="1"/>
  <c r="CY43" i="1"/>
  <c r="CZ43" i="1" s="1"/>
  <c r="BK43" i="1"/>
  <c r="DT41" i="1"/>
  <c r="DS41" i="1"/>
  <c r="DJ41" i="1"/>
  <c r="DG41" i="1"/>
  <c r="DE41" i="1"/>
  <c r="DD41" i="1"/>
  <c r="DB41" i="1"/>
  <c r="CY41" i="1"/>
  <c r="CZ41" i="1" s="1"/>
  <c r="BK41" i="1"/>
  <c r="DT40" i="1"/>
  <c r="DS40" i="1"/>
  <c r="DG40" i="1"/>
  <c r="DE40" i="1"/>
  <c r="DD40" i="1"/>
  <c r="DB40" i="1"/>
  <c r="CY40" i="1"/>
  <c r="CZ40" i="1" s="1"/>
  <c r="BK40" i="1"/>
  <c r="DT39" i="1"/>
  <c r="DS39" i="1"/>
  <c r="DG39" i="1"/>
  <c r="DE39" i="1"/>
  <c r="DD39" i="1"/>
  <c r="DB39" i="1"/>
  <c r="CY39" i="1"/>
  <c r="CZ39" i="1" s="1"/>
  <c r="BK39" i="1"/>
  <c r="DT38" i="1"/>
  <c r="DS38" i="1"/>
  <c r="DG38" i="1"/>
  <c r="DE38" i="1"/>
  <c r="DD38" i="1"/>
  <c r="DB38" i="1"/>
  <c r="CY38" i="1"/>
  <c r="CZ38" i="1" s="1"/>
  <c r="BK38" i="1"/>
  <c r="DG36" i="1"/>
  <c r="DE36" i="1"/>
  <c r="DD36" i="1"/>
  <c r="DB36" i="1"/>
  <c r="CY36" i="1"/>
  <c r="CZ36" i="1" s="1"/>
  <c r="BK36" i="1"/>
  <c r="DG34" i="1"/>
  <c r="DD34" i="1"/>
  <c r="DB34" i="1"/>
  <c r="CY34" i="1"/>
  <c r="CZ34" i="1" s="1"/>
  <c r="BK34" i="1"/>
  <c r="DG32" i="1"/>
  <c r="DE32" i="1"/>
  <c r="DD32" i="1"/>
  <c r="DB32" i="1"/>
  <c r="CY32" i="1"/>
  <c r="CZ32" i="1" s="1"/>
  <c r="DT30" i="1"/>
  <c r="DG30" i="1"/>
  <c r="DE30" i="1"/>
  <c r="DD30" i="1"/>
  <c r="DB30" i="1"/>
  <c r="CY30" i="1"/>
  <c r="CZ30" i="1" s="1"/>
  <c r="DT29" i="1"/>
  <c r="DG29" i="1"/>
  <c r="DE29" i="1"/>
  <c r="DD29" i="1"/>
  <c r="DB29" i="1"/>
  <c r="CY29" i="1"/>
  <c r="CZ29" i="1" s="1"/>
  <c r="DT27" i="1"/>
  <c r="DS27" i="1"/>
  <c r="DG27" i="1"/>
  <c r="DE27" i="1"/>
  <c r="DD27" i="1"/>
  <c r="DB27" i="1"/>
  <c r="CY27" i="1"/>
  <c r="CZ27" i="1" s="1"/>
  <c r="BK27" i="1"/>
  <c r="DT26" i="1"/>
  <c r="DS26" i="1"/>
  <c r="DG26" i="1"/>
  <c r="DE26" i="1"/>
  <c r="DD26" i="1"/>
  <c r="DB26" i="1"/>
  <c r="CY26" i="1"/>
  <c r="CZ26" i="1" s="1"/>
  <c r="BK26" i="1"/>
  <c r="DT25" i="1"/>
  <c r="DS25" i="1"/>
  <c r="DG25" i="1"/>
  <c r="DE25" i="1"/>
  <c r="DD25" i="1"/>
  <c r="DB25" i="1"/>
  <c r="CY25" i="1"/>
  <c r="CZ25" i="1" s="1"/>
  <c r="BT25" i="1"/>
  <c r="BK25" i="1"/>
  <c r="DD23" i="1"/>
  <c r="DE23" i="1" s="1"/>
  <c r="CZ23" i="1"/>
  <c r="DD22" i="1"/>
  <c r="DE22" i="1" s="1"/>
  <c r="CZ22" i="1"/>
  <c r="DD21" i="1"/>
  <c r="DE21" i="1" s="1"/>
  <c r="CZ21" i="1"/>
  <c r="DD20" i="1"/>
  <c r="DE20" i="1" s="1"/>
  <c r="CZ20" i="1"/>
  <c r="DD19" i="1"/>
  <c r="DE19" i="1" s="1"/>
  <c r="CZ19" i="1"/>
  <c r="DD18" i="1"/>
  <c r="DE18" i="1" s="1"/>
  <c r="CZ18" i="1"/>
  <c r="DD17" i="1"/>
  <c r="DE17" i="1" s="1"/>
  <c r="CZ17" i="1"/>
  <c r="DD16" i="1"/>
  <c r="DE16" i="1" s="1"/>
  <c r="CZ16" i="1"/>
  <c r="DD15" i="1"/>
  <c r="DE15" i="1" s="1"/>
  <c r="CZ15" i="1"/>
  <c r="DG14" i="1"/>
  <c r="DD14" i="1"/>
  <c r="DE14" i="1" s="1"/>
  <c r="CZ14" i="1"/>
  <c r="DG13" i="1"/>
  <c r="DD13" i="1"/>
  <c r="DE13" i="1" s="1"/>
  <c r="CZ13" i="1"/>
  <c r="DG12" i="1"/>
  <c r="DD12" i="1"/>
  <c r="DE12" i="1" s="1"/>
  <c r="CZ12" i="1"/>
  <c r="DG10" i="1"/>
  <c r="DB10" i="1"/>
  <c r="DE10" i="1" s="1"/>
  <c r="CY10" i="1"/>
  <c r="CZ10" i="1" s="1"/>
  <c r="BK10" i="1"/>
  <c r="DG9" i="1"/>
  <c r="DB9" i="1"/>
  <c r="DE9" i="1" s="1"/>
  <c r="CY9" i="1"/>
  <c r="CZ9" i="1" s="1"/>
  <c r="BK9" i="1"/>
  <c r="DG8" i="1"/>
  <c r="DB8" i="1"/>
  <c r="DE8" i="1" s="1"/>
  <c r="CY8" i="1"/>
  <c r="CZ8" i="1" s="1"/>
  <c r="BK8" i="1"/>
  <c r="DG7" i="1"/>
  <c r="DB7" i="1"/>
  <c r="DE7" i="1" s="1"/>
  <c r="CY7" i="1"/>
  <c r="CZ7" i="1" s="1"/>
  <c r="BK7" i="1"/>
  <c r="DG5" i="1"/>
  <c r="DE5" i="1"/>
  <c r="DD5" i="1"/>
  <c r="DB5" i="1"/>
  <c r="CY5" i="1"/>
  <c r="CZ5" i="1" s="1"/>
  <c r="BK5" i="1"/>
  <c r="DG4" i="1"/>
  <c r="DD4" i="1"/>
  <c r="DB4" i="1"/>
  <c r="CY4" i="1"/>
  <c r="CZ4" i="1" s="1"/>
  <c r="BK4" i="1"/>
  <c r="DG3" i="1"/>
  <c r="DE3" i="1"/>
  <c r="DD3" i="1"/>
  <c r="DB3" i="1"/>
  <c r="CY3" i="1"/>
  <c r="CZ3" i="1" s="1"/>
  <c r="BK3" i="1"/>
  <c r="DG2" i="1"/>
  <c r="DE2" i="1"/>
  <c r="DD2" i="1"/>
  <c r="DB2" i="1"/>
  <c r="CY2" i="1"/>
  <c r="CZ2" i="1" s="1"/>
  <c r="BK2" i="1"/>
  <c r="DE53" i="1" l="1"/>
  <c r="DE101" i="1"/>
  <c r="DE98" i="1"/>
  <c r="CY117" i="1"/>
  <c r="CZ117" i="1" s="1"/>
  <c r="CY147" i="1"/>
  <c r="CZ147" i="1" s="1"/>
  <c r="DE100" i="1"/>
  <c r="DE51" i="1"/>
  <c r="DE45" i="1"/>
  <c r="DE85" i="1"/>
  <c r="DE88" i="1"/>
  <c r="DE92" i="1"/>
  <c r="DE46" i="1"/>
  <c r="DE83" i="1"/>
  <c r="DE82" i="1"/>
  <c r="DE86" i="1"/>
  <c r="DE94" i="1"/>
  <c r="CY151" i="1"/>
  <c r="CZ151" i="1" s="1"/>
  <c r="CY152" i="1"/>
  <c r="CZ152" i="1" s="1"/>
  <c r="DE89" i="1"/>
  <c r="DE144" i="1"/>
  <c r="DE143" i="1"/>
  <c r="DE145" i="1"/>
  <c r="DE43" i="1"/>
  <c r="DE79" i="1"/>
  <c r="CY154" i="1"/>
  <c r="CZ154" i="1" s="1"/>
  <c r="CY148" i="1"/>
  <c r="CZ148" i="1" s="1"/>
  <c r="DE97" i="1"/>
  <c r="DE34" i="1"/>
  <c r="DE44" i="1"/>
  <c r="DE54" i="1"/>
  <c r="DE91" i="1"/>
  <c r="CY116" i="1"/>
  <c r="CZ116" i="1" s="1"/>
  <c r="CY149" i="1"/>
  <c r="CZ149" i="1" s="1"/>
  <c r="DE52" i="1"/>
  <c r="CY150" i="1"/>
  <c r="CZ150" i="1" s="1"/>
  <c r="DE80" i="1"/>
  <c r="DE95" i="1"/>
  <c r="CY153" i="1"/>
  <c r="CZ153" i="1" s="1"/>
</calcChain>
</file>

<file path=xl/sharedStrings.xml><?xml version="1.0" encoding="utf-8"?>
<sst xmlns="http://schemas.openxmlformats.org/spreadsheetml/2006/main" count="7603" uniqueCount="1010">
  <si>
    <t>Covidence #</t>
  </si>
  <si>
    <t>Study</t>
  </si>
  <si>
    <t>Title</t>
  </si>
  <si>
    <t>Reviewer Name</t>
  </si>
  <si>
    <t>Study_ID</t>
  </si>
  <si>
    <t>Author_last_name</t>
  </si>
  <si>
    <t>Publication_Year</t>
  </si>
  <si>
    <t>Lead_author_contact_details</t>
  </si>
  <si>
    <t>Notes</t>
  </si>
  <si>
    <t>Hemisphere</t>
  </si>
  <si>
    <t>Brain_Region</t>
  </si>
  <si>
    <t>Scan_Strength_MRSQ</t>
  </si>
  <si>
    <t>Power_YN_MRSQ</t>
  </si>
  <si>
    <t>Sequence_MRSQ</t>
  </si>
  <si>
    <t>Data_Points_YN</t>
  </si>
  <si>
    <t>Data_Points_Value_MRSQ</t>
  </si>
  <si>
    <t>Scan_Parameters_YN_MRSQ</t>
  </si>
  <si>
    <t>Scan_Parameters_MRSQ</t>
  </si>
  <si>
    <t>Quality_Measures_YN_MRSQ</t>
  </si>
  <si>
    <t>Quality_Measures_MRSQ</t>
  </si>
  <si>
    <t>Data_Visualization_YN_MRSQ</t>
  </si>
  <si>
    <t>Scanner_Drift_YN_MRSQ</t>
  </si>
  <si>
    <t>TE_YN</t>
  </si>
  <si>
    <t>Echo_Time</t>
  </si>
  <si>
    <t>TE_Description</t>
  </si>
  <si>
    <t>Repetition_Time_YN</t>
  </si>
  <si>
    <t>Repetition_Time</t>
  </si>
  <si>
    <t>Voxel_Type</t>
  </si>
  <si>
    <t>Voxel_Size_mm3</t>
  </si>
  <si>
    <t>Num_WS_Averages</t>
  </si>
  <si>
    <t>Neurometabolite_Type</t>
  </si>
  <si>
    <t>Concentration</t>
  </si>
  <si>
    <t>Glutamate_Ratio</t>
  </si>
  <si>
    <t>Glutamate_Concentration</t>
  </si>
  <si>
    <t>stat_reported</t>
  </si>
  <si>
    <t>Case_Mean</t>
  </si>
  <si>
    <t>Case_Std_Dev</t>
  </si>
  <si>
    <t>Control_Mean</t>
  </si>
  <si>
    <t>Control_Std_Dev</t>
  </si>
  <si>
    <t>P_value</t>
  </si>
  <si>
    <t>P_value_n_tails</t>
  </si>
  <si>
    <t>P_value_effect_direction</t>
  </si>
  <si>
    <t>T_value</t>
  </si>
  <si>
    <t>T_value_effect_direction</t>
  </si>
  <si>
    <t>F_value</t>
  </si>
  <si>
    <t>F_value_effect_direction</t>
  </si>
  <si>
    <t>Power_calculation_YN_MRSQ</t>
  </si>
  <si>
    <t>Power_calculation_MRSQ</t>
  </si>
  <si>
    <t>Brain_Tissue</t>
  </si>
  <si>
    <t>Type_WM</t>
  </si>
  <si>
    <t>Tissue_Note</t>
  </si>
  <si>
    <t>Partial_Vol_Correction_YN_MRSQ</t>
  </si>
  <si>
    <t>Freq_Phase_Correction_YN_MRSQ</t>
  </si>
  <si>
    <t>Freq_Phase_Correction_Notes</t>
  </si>
  <si>
    <t>Analysis_YN_MRSQ</t>
  </si>
  <si>
    <t>Analysis_MRSQ</t>
  </si>
  <si>
    <t>Case_Sample_size</t>
  </si>
  <si>
    <t>Control_Sample_size</t>
  </si>
  <si>
    <t>Dx_Group</t>
  </si>
  <si>
    <t>Inclusion_criteria</t>
  </si>
  <si>
    <t>Exclusion_criteria</t>
  </si>
  <si>
    <t>Disease_duration_SD</t>
  </si>
  <si>
    <t>Case_Age_SD</t>
  </si>
  <si>
    <t>Control_Age_SD</t>
  </si>
  <si>
    <t>Combined_Age_Mean</t>
  </si>
  <si>
    <t>Combined_Age_SD</t>
  </si>
  <si>
    <t>Case_Sex_F_n</t>
  </si>
  <si>
    <t>Case_Sex_%F</t>
  </si>
  <si>
    <t>Control_Sex_F_n</t>
  </si>
  <si>
    <t>Control_Sex_%F</t>
  </si>
  <si>
    <t>Sex_%F</t>
  </si>
  <si>
    <t>Race_%W</t>
  </si>
  <si>
    <t>Total_n_of_participants</t>
  </si>
  <si>
    <t>Med_Naive_YN</t>
  </si>
  <si>
    <t>Med_Naive_Percent</t>
  </si>
  <si>
    <t>Percent_Med_at_Scan</t>
  </si>
  <si>
    <t>DMT</t>
  </si>
  <si>
    <t>Med_Exclusion</t>
  </si>
  <si>
    <t>Reported_Med</t>
  </si>
  <si>
    <t>Extra_Measure</t>
  </si>
  <si>
    <t>EDSS_median</t>
  </si>
  <si>
    <t>EDSS_min</t>
  </si>
  <si>
    <t>EDSS_max</t>
  </si>
  <si>
    <t>EDSS_mean</t>
  </si>
  <si>
    <t>EDSS_sd</t>
  </si>
  <si>
    <t>ARCS_M_control_mean</t>
  </si>
  <si>
    <t>ARCS_M_control_sd</t>
  </si>
  <si>
    <t>ARCS_M_case_mean</t>
  </si>
  <si>
    <t>ARCS_M_case_sd</t>
  </si>
  <si>
    <t>ARCS_F_control_mean</t>
  </si>
  <si>
    <t>ARCS_F_control_sd</t>
  </si>
  <si>
    <t>ARCS_F_case_mean</t>
  </si>
  <si>
    <t>ARCS_F_case_sd</t>
  </si>
  <si>
    <t>ARCS_V_control_mean</t>
  </si>
  <si>
    <t>ARCS_V_control_sd</t>
  </si>
  <si>
    <t>ARCS_V_case_mean</t>
  </si>
  <si>
    <t>ARCS_V_case_sd</t>
  </si>
  <si>
    <t>ARCS_A_control_mean</t>
  </si>
  <si>
    <t>ARCS_A_control_sd</t>
  </si>
  <si>
    <t>ARCS_A_case_mean</t>
  </si>
  <si>
    <t>ARCS_A_case_sd</t>
  </si>
  <si>
    <t>ARCS_Total_control_mean</t>
  </si>
  <si>
    <t>ARCS_Total_control_sd</t>
  </si>
  <si>
    <t>ARCS_Total_case_mean</t>
  </si>
  <si>
    <t>ARCS_Total_case_sd</t>
  </si>
  <si>
    <t>BVMT_R_control_mean</t>
  </si>
  <si>
    <t>BVMT_R_control_sd</t>
  </si>
  <si>
    <t>BVMT_R_case_mean</t>
  </si>
  <si>
    <t>BVMT_R_case_sd</t>
  </si>
  <si>
    <t>ROCF_control_mean</t>
  </si>
  <si>
    <t>ROCF_control_sd</t>
  </si>
  <si>
    <t>ROCF_case_mean</t>
  </si>
  <si>
    <t>ROCF_case_sd</t>
  </si>
  <si>
    <t>LLT_control_mean</t>
  </si>
  <si>
    <t>LLT_control_sd</t>
  </si>
  <si>
    <t>LLT_case_mean</t>
  </si>
  <si>
    <t>LLT_case_sd</t>
  </si>
  <si>
    <t>PAL_control_mean</t>
  </si>
  <si>
    <t>PAL_control_sd</t>
  </si>
  <si>
    <t>PAL_case_mean</t>
  </si>
  <si>
    <t>PAL_case_sd</t>
  </si>
  <si>
    <t>LDST_control_mean</t>
  </si>
  <si>
    <t>LDST_control_sd</t>
  </si>
  <si>
    <t>LDST_case_mean</t>
  </si>
  <si>
    <t>LDST_case_sd</t>
  </si>
  <si>
    <t>Stroop_control_mean</t>
  </si>
  <si>
    <t>Stroop_control_sd</t>
  </si>
  <si>
    <t>Stroop_case_mean</t>
  </si>
  <si>
    <t>Stroop_case_sd</t>
  </si>
  <si>
    <t>HSCT_control_mean</t>
  </si>
  <si>
    <t>HSCT_control_sd</t>
  </si>
  <si>
    <t>HSCT_case_mean</t>
  </si>
  <si>
    <t>HSCT_case_sd</t>
  </si>
  <si>
    <t>WLG_control_mean</t>
  </si>
  <si>
    <t>WLG_control_sd</t>
  </si>
  <si>
    <t>WLG_case_mean</t>
  </si>
  <si>
    <t>WLG_case_sd</t>
  </si>
  <si>
    <t>CVLT_II_control_mean</t>
  </si>
  <si>
    <t>CVLT_II_control_sd</t>
  </si>
  <si>
    <t>CVLT_II_case_mean</t>
  </si>
  <si>
    <t>CVLT_II_case_sd</t>
  </si>
  <si>
    <t>AVLT_control_mean</t>
  </si>
  <si>
    <t>AVLT_control_sd</t>
  </si>
  <si>
    <t>AVLT_case_mean</t>
  </si>
  <si>
    <t>AVLT_case_sd</t>
  </si>
  <si>
    <t>AMIPB_control_mean</t>
  </si>
  <si>
    <t>AMIPB_control_sd</t>
  </si>
  <si>
    <t>AMIPB_case_mean</t>
  </si>
  <si>
    <t>AMIPB_case_sd</t>
  </si>
  <si>
    <t>Digit_Span_control_mean</t>
  </si>
  <si>
    <t>Digit_Span_control_sd</t>
  </si>
  <si>
    <t>Digit_Span_case_mean</t>
  </si>
  <si>
    <t>Digit_Span_case_sd</t>
  </si>
  <si>
    <t>LNST_control_mean</t>
  </si>
  <si>
    <t>LNST_control_sd</t>
  </si>
  <si>
    <t>LNST_case_mean</t>
  </si>
  <si>
    <t>LNST_case_sd</t>
  </si>
  <si>
    <t>SDMT_control_mean</t>
  </si>
  <si>
    <t>SDMT_control_sd</t>
  </si>
  <si>
    <t>SDMT_case_mean</t>
  </si>
  <si>
    <t>SDMT_case_sd</t>
  </si>
  <si>
    <t>MSFC_9HPT_control_mean</t>
  </si>
  <si>
    <t>MSFC_9HPT_control_sd</t>
  </si>
  <si>
    <t>MSFC_9HPT_case_mean</t>
  </si>
  <si>
    <t>MSFC_9HPT_case_sd</t>
  </si>
  <si>
    <t>MSFC_25TFW_control_mean</t>
  </si>
  <si>
    <t>MSFC_25TFW_control_sd</t>
  </si>
  <si>
    <t>MSFC_25TFW_case_mean</t>
  </si>
  <si>
    <t>MSFC_25TFW_case_sd</t>
  </si>
  <si>
    <t>MSFC_PASAT_control_mean</t>
  </si>
  <si>
    <t>MSFC_PASAT_control_sd</t>
  </si>
  <si>
    <t>MSFC_PASAT_case_mean</t>
  </si>
  <si>
    <t>MSFC_PASAT_case_sd</t>
  </si>
  <si>
    <t>MSFC_Total_control_mean</t>
  </si>
  <si>
    <t>MSFC_Total_control_sd</t>
  </si>
  <si>
    <t>MSFC_Total_case_mean</t>
  </si>
  <si>
    <t>MSFC_Total_case_sd</t>
  </si>
  <si>
    <t>MRC_MS_control_mean</t>
  </si>
  <si>
    <t>MRC_MS_control_sd</t>
  </si>
  <si>
    <t>MRC_MS_case_mean</t>
  </si>
  <si>
    <t>MRC_MS_case_sd</t>
  </si>
  <si>
    <t>DASS21_D_control_mean</t>
  </si>
  <si>
    <t>DASS21_D_control_sd</t>
  </si>
  <si>
    <t>DASS21_D_case_mean</t>
  </si>
  <si>
    <t>DASS21_D_case_sd</t>
  </si>
  <si>
    <t>DASS21_A_control_mean</t>
  </si>
  <si>
    <t>DASS21_A_control_sd</t>
  </si>
  <si>
    <t>DASS21_A_case_mean</t>
  </si>
  <si>
    <t>DASS21_A_case_sd</t>
  </si>
  <si>
    <t>DASS21_S_control_mean</t>
  </si>
  <si>
    <t>DASS21_S_control_sd</t>
  </si>
  <si>
    <t>DASS21_S_case_mean</t>
  </si>
  <si>
    <t>DASS21_S_case_sd</t>
  </si>
  <si>
    <t>DASS21_Total_control_mean</t>
  </si>
  <si>
    <t>DASS21_Total_control_sd</t>
  </si>
  <si>
    <t>DASS21_Total_case_mean</t>
  </si>
  <si>
    <t>DASS21_Total_case_sd</t>
  </si>
  <si>
    <t>HADS_D_control_mean</t>
  </si>
  <si>
    <t>HADS_D_control_sd</t>
  </si>
  <si>
    <t>HADS_D_case_mean</t>
  </si>
  <si>
    <t>HADS_D_case_sd</t>
  </si>
  <si>
    <t>HADS_A_control_mean</t>
  </si>
  <si>
    <t>HADS_A_control_sd</t>
  </si>
  <si>
    <t>HADS_A_case_mean</t>
  </si>
  <si>
    <t>HADS_A_case_sd</t>
  </si>
  <si>
    <t>HADS_Total_control_mean</t>
  </si>
  <si>
    <t>HADS_Total_control_sd</t>
  </si>
  <si>
    <t>HADS_Total_case_mean</t>
  </si>
  <si>
    <t>HADS_Total_case_sd</t>
  </si>
  <si>
    <t>SDSSS_control_mean</t>
  </si>
  <si>
    <t>SDSSS_control_sd</t>
  </si>
  <si>
    <t>SDSSS_case_mean</t>
  </si>
  <si>
    <t>SDSSS_case_sd</t>
  </si>
  <si>
    <t>MFIS_C_control_mean</t>
  </si>
  <si>
    <t>MFIS_C_control_sd</t>
  </si>
  <si>
    <t>MFIS_C_case_mean</t>
  </si>
  <si>
    <t>MFIS_C_case_sd</t>
  </si>
  <si>
    <t>MFIS_P_control_mean</t>
  </si>
  <si>
    <t>MFIS_P_control_sd</t>
  </si>
  <si>
    <t>MFIS_P_case_mean</t>
  </si>
  <si>
    <t>MFIS_P_case_sd</t>
  </si>
  <si>
    <t>MFIS_Total_control_mean</t>
  </si>
  <si>
    <t>MFIS_Total_control_sd</t>
  </si>
  <si>
    <t>MFIS_Total_case_mean</t>
  </si>
  <si>
    <t>MFIS_Total_case_sd</t>
  </si>
  <si>
    <t>SNFS_control_mean</t>
  </si>
  <si>
    <t>SNFS_control_sd</t>
  </si>
  <si>
    <t>SNFS_case_mean</t>
  </si>
  <si>
    <t>SNFS_case_sd</t>
  </si>
  <si>
    <t>Reviewer 2</t>
  </si>
  <si>
    <t>Spiral MRSI and tissue segmentation of normal-appearing white matter and white matter lesions in relapsing remitting multiple sclerosis patients(☆).</t>
  </si>
  <si>
    <t>Elena Cooper</t>
  </si>
  <si>
    <t>Al-iedani</t>
  </si>
  <si>
    <r>
      <rPr>
        <u/>
        <sz val="10"/>
        <color theme="1"/>
        <rFont val="Helvetica Neue"/>
        <family val="2"/>
      </rPr>
      <t>saadallah.ramadan@newcastle.edu.au</t>
    </r>
  </si>
  <si>
    <t>Bilateral</t>
  </si>
  <si>
    <t>NAWM</t>
  </si>
  <si>
    <t>3T</t>
  </si>
  <si>
    <t>N</t>
  </si>
  <si>
    <t>LASER-GOIA-W</t>
  </si>
  <si>
    <t>Y</t>
  </si>
  <si>
    <t>Not reported</t>
  </si>
  <si>
    <t>Multiple</t>
  </si>
  <si>
    <t>10x10x10</t>
  </si>
  <si>
    <t>22</t>
  </si>
  <si>
    <t>Glx</t>
  </si>
  <si>
    <t>Absolute</t>
  </si>
  <si>
    <t>P-value, mean/sd</t>
  </si>
  <si>
    <t>WM</t>
  </si>
  <si>
    <t>LCModel</t>
  </si>
  <si>
    <t>RRMS</t>
  </si>
  <si>
    <t>McDonald criteria, natalizumab treatment</t>
  </si>
  <si>
    <t>Natalizumab</t>
  </si>
  <si>
    <t>Jacquelyn Stifelman</t>
  </si>
  <si>
    <t>Glu</t>
  </si>
  <si>
    <t>WML</t>
  </si>
  <si>
    <t>Arm</t>
  </si>
  <si>
    <t>saadallah.ramadan@newcastle.edu.au</t>
  </si>
  <si>
    <t>2D L-COSY</t>
  </si>
  <si>
    <t>N/A</t>
  </si>
  <si>
    <t>Single</t>
  </si>
  <si>
    <t>30x30x30</t>
  </si>
  <si>
    <t xml:space="preserve"> 768 (8 avgs per 96 increments)</t>
  </si>
  <si>
    <t>Mixed</t>
  </si>
  <si>
    <t>Altered in vivo brain GABA and glutamate levels are associated with multiple sclerosis central fatigue</t>
  </si>
  <si>
    <t>Right</t>
  </si>
  <si>
    <t>Prefrontal cortex</t>
  </si>
  <si>
    <t>MEGA-PRESS</t>
  </si>
  <si>
    <t>FWHM and fit error over 15%</t>
  </si>
  <si>
    <t>18.75mm3</t>
  </si>
  <si>
    <t>P-value, mean/sd, F-value</t>
  </si>
  <si>
    <t>Case_greater_than_control</t>
  </si>
  <si>
    <t>Gannet Load module</t>
  </si>
  <si>
    <t>Gannet 3.0</t>
  </si>
  <si>
    <t>EDSS between 1-4; fulfilling RRMS course according to McDonald Criteria</t>
  </si>
  <si>
    <t>treated with GABA agonists, fatigue relief medications, steroid treatments, or recent relapse within last 3 months</t>
  </si>
  <si>
    <t>GABA agonists (Baclofen); fatigure relief medications (Amantadine/Modafinil); steroid treatment</t>
  </si>
  <si>
    <t>Glx/GABA+</t>
  </si>
  <si>
    <t>Ratio</t>
  </si>
  <si>
    <t>Control_greater_than_case</t>
  </si>
  <si>
    <t>Sensorimotor cortex</t>
  </si>
  <si>
    <t>15.62mm3</t>
  </si>
  <si>
    <t>In Vivo Evidence of Glutamate Toxicity in Multiple Sclerosis</t>
  </si>
  <si>
    <t>Azevedo</t>
  </si>
  <si>
    <t>daniel.pelletier@yale.edu</t>
  </si>
  <si>
    <t>PRESS</t>
  </si>
  <si>
    <t>64 echo time steps starting at TE = 35 with an echo time increment of 2.5ms</t>
  </si>
  <si>
    <t>12x10x15</t>
  </si>
  <si>
    <t>Mean/sd</t>
  </si>
  <si>
    <t>2005 McDonald criteria</t>
  </si>
  <si>
    <t>Recent relapse or corticosteroid use (&lt;1 month); inability to complete spectroscopy; insufficient valid Glu or NAA measurements after QC.</t>
  </si>
  <si>
    <t>Recent corticosteroid treatment (&lt;1 month prior to scan).</t>
  </si>
  <si>
    <t>SPMS</t>
  </si>
  <si>
    <t>PPMS</t>
  </si>
  <si>
    <t>GM</t>
  </si>
  <si>
    <t>Glu/NAA</t>
  </si>
  <si>
    <t>Left</t>
  </si>
  <si>
    <t>Glx/Cr</t>
  </si>
  <si>
    <t>NS</t>
  </si>
  <si>
    <t>Hippocampus</t>
  </si>
  <si>
    <t>Reduced gamma-aminobutyric acid concentration is associated with physical disability in progressive multiple sclerosis</t>
  </si>
  <si>
    <t>Cawley</t>
  </si>
  <si>
    <t>n.cawley@ucl.ac.uk</t>
  </si>
  <si>
    <t>30x19.2x16</t>
  </si>
  <si>
    <t>TARQUIN</t>
  </si>
  <si>
    <t>4-6.5 EDSS, SPMS</t>
  </si>
  <si>
    <t>taking med that affects GABAergic systems within 6 months before scanning</t>
  </si>
  <si>
    <t>taking GABArtegic medication within 6 months of scan</t>
  </si>
  <si>
    <t>35x34x22</t>
  </si>
  <si>
    <t>28x30x22</t>
  </si>
  <si>
    <t>Brain metabolite changes in cortical grey and normal-appearing white matter in clinically early relapsing-remitting multiple sclerosis.</t>
  </si>
  <si>
    <t>Chard</t>
  </si>
  <si>
    <t>d.miller@ion.ucl.ac.uk</t>
  </si>
  <si>
    <t>1.5T</t>
  </si>
  <si>
    <t>shim</t>
  </si>
  <si>
    <t>12.5x12.5x15</t>
  </si>
  <si>
    <t>clinically definite RRMS</t>
  </si>
  <si>
    <t>B-interferon at any stage, corticosteroids within last month</t>
  </si>
  <si>
    <t>on b-interferon. On corticosteroids within prevvious month</t>
  </si>
  <si>
    <t>Cortical grey matter</t>
  </si>
  <si>
    <t>Confort-Gouny 1993</t>
  </si>
  <si>
    <t>A multiparametric data analysis showing the potential of localized proton MR spectroscopy of the brain in the metabolic characterization of neurological diseases.</t>
  </si>
  <si>
    <t>Confort-Gouny</t>
  </si>
  <si>
    <t>sylviane.gouny@univ-amu.fr</t>
  </si>
  <si>
    <t>STEAM</t>
  </si>
  <si>
    <t>20x20x20</t>
  </si>
  <si>
    <t>Schlumberger-Benson 6453 digitizer (manual integration device)</t>
  </si>
  <si>
    <t>evolutive MS, in relapse phase; confirmed diagnosis</t>
  </si>
  <si>
    <t>P&lt;0.05</t>
  </si>
  <si>
    <t>Fernando 2004</t>
  </si>
  <si>
    <t>Elevated white matter myo-inositol in clinically isolated syndromes suggestive of multiple sclerosis.</t>
  </si>
  <si>
    <t>Fernando</t>
  </si>
  <si>
    <t>k.fernando@ion.ucl.ac.uk</t>
  </si>
  <si>
    <t>NAWM posterior parietal and centrum semi-ovale regions</t>
  </si>
  <si>
    <t>shimming and water suppresion</t>
  </si>
  <si>
    <t>MS</t>
  </si>
  <si>
    <t>McDonald criteria</t>
  </si>
  <si>
    <t>Gao 2018</t>
  </si>
  <si>
    <t>Altered hippocampal GABA and glutamate levels and uncoupling from functional connectivity in multiple sclerosis.</t>
  </si>
  <si>
    <t>Gao</t>
  </si>
  <si>
    <t>wgb7932596@hotmail.com</t>
  </si>
  <si>
    <t>Left hippocampal region</t>
  </si>
  <si>
    <t>shimming</t>
  </si>
  <si>
    <t>40x20x20</t>
  </si>
  <si>
    <t>mcDonald criteria</t>
  </si>
  <si>
    <t>diagnosis of other neurological or psychiatric disorder and head trauma; relapse and steroid treatment within the preceding 3 months; hippocampal lesions that were visible on MR images; intake of GABAergic agents before enrollment; BDI &gt; 37 or use of antidepressant treatment; EDSS &gt; 4</t>
  </si>
  <si>
    <t>GABAergic agents; antidepressants; steroid treatment within preceding 3 months</t>
  </si>
  <si>
    <t>Cognitive performance in multiple sclerosis: What is the role of the gamma-aminobutyric acid system?</t>
  </si>
  <si>
    <t>Huiskamp</t>
  </si>
  <si>
    <t>m.huiskamp@amsterdamumc.nl</t>
  </si>
  <si>
    <t>Right hippocampus</t>
  </si>
  <si>
    <t>shimming, FWHM</t>
  </si>
  <si>
    <t>14x20x36</t>
  </si>
  <si>
    <t>P&gt;0.05</t>
  </si>
  <si>
    <t>Cognitively-preserved MS</t>
  </si>
  <si>
    <t>RRMS or SPMS according to McDonald Criteria; sufficient motor function and visual acuity</t>
  </si>
  <si>
    <t>other neurological or psychiatric illness; MRI contraindications; use of corticosteroids 4 weeks before the first study visit</t>
  </si>
  <si>
    <t>use of corticosteroids 4 weeks before the first study visit</t>
  </si>
  <si>
    <t>5%: interferon-beta); 10%: glatiramer acetate; 10%: dimethyl fumarate; 5%: teriflunomide; 17.5%: natalizumab; 7.5%: fingolimod; 2.5%: ocrevus</t>
  </si>
  <si>
    <t>Thalamus</t>
  </si>
  <si>
    <t>16x28x24</t>
  </si>
  <si>
    <t>5%: interferon-beta; 10%: glatiramer acetate; 10%: dimethyl fumarate; 5%: teriflunomide; 17.5%: natalizumab; 7.5%: fingolimod; 2.5%: ocrevus</t>
  </si>
  <si>
    <t>Cognitively-impaired MS</t>
  </si>
  <si>
    <t>5%: interferon-beta; 5%: glatiramer acetate; 5%: teriflunomide; 15:% natalizumab; 10%: fingolimod; 25%: ocrevus</t>
  </si>
  <si>
    <t>Cardiac autonomic function in patients with early multiple sclerosis</t>
  </si>
  <si>
    <t>Imrich</t>
  </si>
  <si>
    <t>richard.imrich@savba.sk</t>
  </si>
  <si>
    <t>LWM</t>
  </si>
  <si>
    <t>7T</t>
  </si>
  <si>
    <t xml:space="preserve">Multiple </t>
  </si>
  <si>
    <t>2.2x2.2x8</t>
  </si>
  <si>
    <t>Glx/tCr</t>
  </si>
  <si>
    <t>(a) no history of cardiovascular, metabolic, endocrine, renal or hepatic disease, malignancy, or acute or chronic infection; (b) non-smokers; (c) women not pregnant or breastfeeding; (d) and not currently on any medication.</t>
  </si>
  <si>
    <t>NLWM</t>
  </si>
  <si>
    <t>Glx/tNAA</t>
  </si>
  <si>
    <t>Differentiation of hemispheric white matter lesions in migraine and multiple sclerosis with similar radiological features using advanced MRI</t>
  </si>
  <si>
    <t>John</t>
  </si>
  <si>
    <t>pfund.zoltan@pte.hu</t>
  </si>
  <si>
    <t>Intralesional WM</t>
  </si>
  <si>
    <t>12x12x12</t>
  </si>
  <si>
    <t>mean/sd</t>
  </si>
  <si>
    <t>large lesion size (≥ 7 mm, largest diameter) with normal-appearing white matter (NAWM) on the contralateral side in both groups, and a good physical status of MS patients expanded disability status scale (EDSS) score ≤ 3, supra-and infratentorial WMLs and were diagnosed with relapsing–remitting MS according to the 2005 modified McDonald criteria (also meeting 2017 criteria), MLs in MS patients showed no hypointensity on T1-weighted images like the migraineurs, and no contrast enhancement was seen, referring to active demyelination, on chronic immunomodulatory therapy at the time of the MRI study, measurement was retaken in the remission phase.</t>
  </si>
  <si>
    <t>no comorbidities that may cause WMLs or history of migraine headaches</t>
  </si>
  <si>
    <t>Chronic immunomodulatory therapy</t>
  </si>
  <si>
    <t>Contralateral NAWM</t>
  </si>
  <si>
    <t>In vivo cortical glutathione response to oral fumarate therapy in relapsing-remitting multiple sclerosis: A single-arm open-label phase IV trial using 7-Tesla (1)H MRS.</t>
  </si>
  <si>
    <t>Juchem</t>
  </si>
  <si>
    <t>cwj2112@columbia.edu</t>
  </si>
  <si>
    <t>25x25x25</t>
  </si>
  <si>
    <t xml:space="preserve">8–55 years of age inclusive, diagnosis of relapsing-remitting multiple sclerosis revised criteria, treatment naïve or switching to Tecfidera, EDSS 0-5.5 </t>
  </si>
  <si>
    <t>1) presented with primary progressive multiple sclerosis (PPMS); 2)
had previous exposure or known allergies to fumarates; 3) were
switching from cyclophosphamide or mitoxantrone to Tecfidera®; 4)
had contraindications for magnetic resonance scanning; 5) exhibited a
known presence of other neurological disorders which may mimic
multiple sclerosis; 6) were pregnant or lactating; 7) required chronic
treatment with systemic corticosteroids or immunosuppressants during the course of the study; 8) had a history of or currently active primary or
secondary immunodeficiency; 9) presented with active infection, or
history of or known presence of recurrent or chronic infection (e.g.
hepatitis B or C, HIV, syphilis, tuberculosis); 10) had a history of progressive
multifocal leukoencephalopathy; or 11) had apparent contraindications
to or intolerance of oral or intravenously (iv) applied
corticosteroids.</t>
  </si>
  <si>
    <t>switching from cyclophosphamide or mitoxantrone to tecfidera, systemic corticosteroids or immunosuppressants</t>
  </si>
  <si>
    <t>Gln</t>
  </si>
  <si>
    <t>Occipital cortex</t>
  </si>
  <si>
    <t>Neurocognitive performance in relapsing-remitting multiple sclerosis patients is associated with metabolic abnormalities of the thalamus but not the hippocampus- GABA-edited 1H MRS study</t>
  </si>
  <si>
    <t>Kantorová</t>
  </si>
  <si>
    <t>petra.hnilicova@uniba.sk</t>
  </si>
  <si>
    <t>MEGA GABA-edited method</t>
  </si>
  <si>
    <t>absence of clinical relapse, no corticosteroid treatment within 3 months before entering study</t>
  </si>
  <si>
    <t>inability and unwillingness to cooperate</t>
  </si>
  <si>
    <t>immunomodulatory treatment; antidepressant treatment</t>
  </si>
  <si>
    <t>immunomodulatory treatment</t>
  </si>
  <si>
    <t>Hypothalamic damage in multiple sclerosis correlates with disease activity, disability, depression, and fatigue</t>
  </si>
  <si>
    <t>kantorova@jfmed.uniba.sk</t>
  </si>
  <si>
    <t>Hypothalamus</t>
  </si>
  <si>
    <t>10x10x12.5</t>
  </si>
  <si>
    <t>RRMS or SPMS</t>
  </si>
  <si>
    <t xml:space="preserve">remain on same treatment for 12 months before imaging; patients with clinically definite MS according to the 2005 McDonald criteria; </t>
  </si>
  <si>
    <t>Glx/NAA</t>
  </si>
  <si>
    <t>Decoding Thalamic Glial Interplay in Multiple Sclerosis Through Proton Magnetic Resonance Spectroscopy and Positron Emission Tomography</t>
  </si>
  <si>
    <t>Kara</t>
  </si>
  <si>
    <t>kara.firat@mayo.edu</t>
  </si>
  <si>
    <t>sLASER</t>
  </si>
  <si>
    <t>21x34x14</t>
  </si>
  <si>
    <t>people with H-MRS and C-PET imaging, MS diagnosis</t>
  </si>
  <si>
    <t>control: any form of central nervous system involvment or disease</t>
  </si>
  <si>
    <t xml:space="preserve">Y </t>
  </si>
  <si>
    <t>Unlocking the link: how hippocampal glutathione-glutamate coupling predicts cognitive impairment in multiple sclerosis patients.</t>
  </si>
  <si>
    <t>Li</t>
  </si>
  <si>
    <t>feigao@email.sdu.edu.cn</t>
  </si>
  <si>
    <t>Posterior cingulate cortex</t>
  </si>
  <si>
    <t>30x30x20</t>
  </si>
  <si>
    <t>EDSS 0-4, RRMS according to McDonald criteria, neurologically stable w no history of relapse or steroid treatment within 3 months of participation</t>
  </si>
  <si>
    <t>MRI-contraindicated, severe depression or a history of antidepressant use, visible lesions on the VOI, history of other CNS disorder</t>
  </si>
  <si>
    <t>history of antidepressant use</t>
  </si>
  <si>
    <t>Glu/GSH</t>
  </si>
  <si>
    <t>Medial prefrontal cortex</t>
  </si>
  <si>
    <t>20x30x30</t>
  </si>
  <si>
    <t>Left hippocampus</t>
  </si>
  <si>
    <t>Association of Cortical Lesions with Regional Glutamate, GABA, N -Acetylaspartate, and Myoinositol Levels in Patients with Multiple Sclerosis</t>
  </si>
  <si>
    <t>Madsen</t>
  </si>
  <si>
    <t>hartwig.roman.siebner@regionh.dk</t>
  </si>
  <si>
    <t>Dominant hemisphere - sensorimotor hand area</t>
  </si>
  <si>
    <t>3175-4960</t>
  </si>
  <si>
    <t>18-80 years, definite diagnosis of RRMS</t>
  </si>
  <si>
    <t>clinical relapse, corticosteriod therapy or changes in MS medication within 3 months of participation, EDSS above 7, other neurologic or psychiatric disorders, contraindications to 7T MRI</t>
  </si>
  <si>
    <t>corticosteroid therapy or changes of MS medication within 3 months of participation</t>
  </si>
  <si>
    <t>Alemtuzumab (1), anti-cd20 (9), dimethyl fumarate (1), fingolimod (6), glatiramer acetate (1), interferon-beta (1), natalizumab (7), other (1), terifllunomide (6)</t>
  </si>
  <si>
    <t>Nondominant hemisphere - sensorimotor hand area</t>
  </si>
  <si>
    <t>18-80 years, definite diagnosis of SPMS</t>
  </si>
  <si>
    <t>anti-cd20 (8), fingolimod (1), other (1)</t>
  </si>
  <si>
    <t>Memory in multiple sclerosis is linked to glutamate concentration in grey matter regions.</t>
  </si>
  <si>
    <t>Muhlert</t>
  </si>
  <si>
    <t>MuhlertN@cardiff.ac.uk</t>
  </si>
  <si>
    <t>26x16x16</t>
  </si>
  <si>
    <t>RRMS: cognitively preserved</t>
  </si>
  <si>
    <t>diagnosis of RRMS; without history of relapse or treatment with corticosteroids within preceding 4 weeks</t>
  </si>
  <si>
    <t>treatment with corticosteroids within the preceding 4 weeks</t>
  </si>
  <si>
    <t>RRMS: cognitively impaired</t>
  </si>
  <si>
    <t>diagnosis of RRMS; without history of relapse or treatment with corticosteroids within preceding 4 weeks, for CI: failure on at least two cognitive tests</t>
  </si>
  <si>
    <t>Posterior Cingulate Cortex</t>
  </si>
  <si>
    <t>30x25x16</t>
  </si>
  <si>
    <t>&lt;0.01</t>
  </si>
  <si>
    <t>Medial Posterior Parietal Cortex</t>
  </si>
  <si>
    <t>Sensorimotor</t>
  </si>
  <si>
    <t>GABA and glutamate levels correlate with MTR and clinical disability: Insights from multiple sclerosis.</t>
  </si>
  <si>
    <t>Nantes</t>
  </si>
  <si>
    <t>julia.nantes@mail.mcgill.ca</t>
  </si>
  <si>
    <t>27x27x27</t>
  </si>
  <si>
    <t>≤5</t>
  </si>
  <si>
    <t>P-value, mean</t>
  </si>
  <si>
    <t>RRMS (27), SPMS (14), PPMS (6)</t>
  </si>
  <si>
    <t>right-handed, fluent in english or french</t>
  </si>
  <si>
    <t>contraindications for MRI, had other health conditions that weren't MS, taking medications with known direct effects on GABAergic activity</t>
  </si>
  <si>
    <t>medications with known direct effects on GABAergic activity</t>
  </si>
  <si>
    <t>Parietal</t>
  </si>
  <si>
    <t>&lt;0.05</t>
  </si>
  <si>
    <t>Brain Metabolite Changes in Patients with Relapsing-Remitting and Secondary Progressive Multiple Sclerosis: A Two-Year Follow-Up Study</t>
  </si>
  <si>
    <t>Obert</t>
  </si>
  <si>
    <t>k.hein@uni-goettingen.de</t>
  </si>
  <si>
    <t>FWHM</t>
  </si>
  <si>
    <t>clinically definite MS, free of attack for at least 8 weeks</t>
  </si>
  <si>
    <t>contraindications for MRI</t>
  </si>
  <si>
    <t>Increased glutamate and deep brain atrophy can predict the severity of multiple sclerosis</t>
  </si>
  <si>
    <t>Polacek</t>
  </si>
  <si>
    <t>16x16 matrix, 10x10x12.5mm3, TR=1500</t>
  </si>
  <si>
    <t>clinically definite MS according to
McDonald criteria 2005; same treatment for at least 12 months</t>
  </si>
  <si>
    <t>pregnancy, endocrine, oncological, or other serious disorders leading to hypothalamic impairment</t>
  </si>
  <si>
    <t>immunomodulatory agents (interferon beta, glatiramer acetate, natalizumab, fingolimod)</t>
  </si>
  <si>
    <t>same treatment for at least 12 months</t>
  </si>
  <si>
    <t>2D in-vivo L-COSY spectroscopy identifies neurometabolite alterations in treated multiple sclerosis</t>
  </si>
  <si>
    <t>Quadrelli</t>
  </si>
  <si>
    <t>Jeannette.LechnerScott@health.nsw.gov.au</t>
  </si>
  <si>
    <t>shimming; FWHM</t>
  </si>
  <si>
    <t>Not listed in spec description</t>
  </si>
  <si>
    <t>Glx-I/tCr</t>
  </si>
  <si>
    <t>Felix</t>
  </si>
  <si>
    <t>Pts on Fingolimod for at least 6 months, 18-65, EDSS 1-4; confimed dx of RRMS</t>
  </si>
  <si>
    <t>comorbid diagnosis of other neurological or psychiatric condition, impaired capacity to consent, contraindications to MRI, treatment with glucocorticoids within last 3 months; HCs were excluded if they had a history of neurological or psychiatric disease or were receiving opiates, antipsychotics, and benzodiazepines</t>
  </si>
  <si>
    <t>glucocorticoid treatment within the last three months</t>
  </si>
  <si>
    <t>Fingolimod</t>
  </si>
  <si>
    <t>Glx sum/tCr</t>
  </si>
  <si>
    <t>Glx upper/tCr</t>
  </si>
  <si>
    <t>Glx lower/tCr</t>
  </si>
  <si>
    <t>Metabolite changes in normal-appearing gray and white matter are linked with disability in early primary progressive multiple sclerosis.</t>
  </si>
  <si>
    <t>Sastre-Garriga</t>
  </si>
  <si>
    <t>jsastre-garriga@cem-cat.org</t>
  </si>
  <si>
    <t>Cortical gray matter</t>
  </si>
  <si>
    <t>fulfillment of PPMS diagnostic crtieria, clinical progression for less than 5 years</t>
  </si>
  <si>
    <t>Magnetic resonance markers of tissue damage related to connectivity disruption in multiple sclerosis.</t>
  </si>
  <si>
    <t>Solana</t>
  </si>
  <si>
    <t>sllufriu@clinic.ub.es</t>
  </si>
  <si>
    <t>2D-CSI PRESS</t>
  </si>
  <si>
    <t>RRMS and SPMS</t>
  </si>
  <si>
    <t xml:space="preserve">Case: 18-65, RRMS or SPMS, free from relapse for minimum 30 days, no history of any other neurologic or psychiatric conditions, diagnosis of MS according to 2010 McDonald Criteria; Control: no cognitive complaints or neurologic or psychiatric problems </t>
  </si>
  <si>
    <t>Evidence of elevated glutamate in multiple sclerosis using magnetic resonance spectroscopy at 3 T.</t>
  </si>
  <si>
    <t>Srinivasan</t>
  </si>
  <si>
    <t>rsriniva@mrsc.ucsf.edu</t>
  </si>
  <si>
    <t>TE-averaged MRS; 64 increments of 2.5 ms starting at TE=35ms with a number of averages (NEX) of 4</t>
  </si>
  <si>
    <t>dx of MS based on McDonald criteria; if scan showed acute contrast-enhancing lesion or non-enhancing T1 hypointense lesion for at least 6 months</t>
  </si>
  <si>
    <t>interferon b, glatiramer acetate, minocycline therapy</t>
  </si>
  <si>
    <t>Contrast-enhancing lesions</t>
  </si>
  <si>
    <t>Chronic lesions</t>
  </si>
  <si>
    <t>Swanberg</t>
  </si>
  <si>
    <t>k.swanberg@columbia.edu</t>
  </si>
  <si>
    <t>In vivo evidence of differential frontal cortex metabolic abnormalities in progressive and relapsing-remitting multiple sclerosis.</t>
  </si>
  <si>
    <t>Frontal cortex</t>
  </si>
  <si>
    <t>18-70; all non-control were dx with MS by a physician</t>
  </si>
  <si>
    <t>10 dimethyl fumarate, 5 natalizumab, 2 glatiramer acetate, 2 rituximab, 1 interferon beta, 1 steroids</t>
  </si>
  <si>
    <t>7 dimethyl fumarate, 4 glatiramer acetate, 1 rituximab, 1 interferon beta</t>
  </si>
  <si>
    <t>&lt;0.1</t>
  </si>
  <si>
    <t>All MS</t>
  </si>
  <si>
    <t>Increased concentrations of glutamate and glutamine in normal-appearing white matter of patients with multiple sclerosis and normal MR imaging brain scans.</t>
  </si>
  <si>
    <t>Tisell</t>
  </si>
  <si>
    <t>anders.tisell@liu.se</t>
  </si>
  <si>
    <t>&lt;0.001</t>
  </si>
  <si>
    <t>non-lesional MS group (MRIneg); MS - 2 or fewer lesions</t>
  </si>
  <si>
    <t>2 or fewer lesions</t>
  </si>
  <si>
    <t>aqueous</t>
  </si>
  <si>
    <t>&gt;0.2</t>
  </si>
  <si>
    <t>MRIpos; MS - fulfilling the Barkhof-Tintore criteria</t>
  </si>
  <si>
    <t>fulfilling the Barkhof-Tintore criteria</t>
  </si>
  <si>
    <t>MR spectroscopic evidence for glial increase but not for neuro-axonal damage in MS normal-appearing white matter.</t>
  </si>
  <si>
    <t>Vrenken</t>
  </si>
  <si>
    <t>H.Vrenken@vumc.nl</t>
  </si>
  <si>
    <t>NAWM; right and left centrum semiovale</t>
  </si>
  <si>
    <t>16x25x16</t>
  </si>
  <si>
    <t>clinically definite MS; 18-70</t>
  </si>
  <si>
    <t>relapse within previous 4 weeks</t>
  </si>
  <si>
    <t>interferon beta</t>
  </si>
  <si>
    <t>Enhanced axonal metabolism during early natalizumab treatment in relapsing-remitting multiple sclerosis.</t>
  </si>
  <si>
    <t>Wiebenga</t>
  </si>
  <si>
    <t>o.wiebenga@vumc.nl</t>
  </si>
  <si>
    <t>Frontal NAWM</t>
  </si>
  <si>
    <t>2D-MRSI</t>
  </si>
  <si>
    <t>16x16 matrix; 1.3 or 1.5 mL; 3000ms</t>
  </si>
  <si>
    <t>initiating natalizumab treatment, 18-65, at least 1 prior period of 1FNb/GA with breakthrough disease or rapidly evolving RRMS before starting treatment</t>
  </si>
  <si>
    <t>history of psychiatric or neurologic  disease (other than ms for patients), contraindications for MR imaging, history of alcohol or drug use</t>
  </si>
  <si>
    <t>Centrum semiovale NAWM</t>
  </si>
  <si>
    <t>Parietal NAWM</t>
  </si>
  <si>
    <t>continuing treatment with interferon-b or glatiramer acetate, 18-65</t>
  </si>
  <si>
    <t>Interferon-b or glatiramer acetate</t>
  </si>
  <si>
    <t>Frontal LWM</t>
  </si>
  <si>
    <t>Centrum semiovale LWM</t>
  </si>
  <si>
    <t>Parietal LWM</t>
  </si>
  <si>
    <t>Frontal GM</t>
  </si>
  <si>
    <t>Parietal GM</t>
  </si>
  <si>
    <t>Xie 2025</t>
  </si>
  <si>
    <t>Association of decreased thalamic neurotransmitter level with sensorimotor tract damage in patients with relapsing-remitting multiple sclerosis</t>
  </si>
  <si>
    <t>Xie</t>
  </si>
  <si>
    <t>zhuwenzhen8612@163.com</t>
  </si>
  <si>
    <t>fit error</t>
  </si>
  <si>
    <t xml:space="preserve"> 50x30x30</t>
  </si>
  <si>
    <t>(I) were diagnosed as RRMS according to the 2017 McDonald criteria; (II) had undergone magnetic resonance imaging (MRI) examination that included 3D T1-weighted imaging (T1WI), double inversion recovery (DIR), diffusion tensor
imaging (DTI), and the MEGA-PRESS sequence; and (III) had no steroid therapy within 4 weeks before the MRI scan.</t>
  </si>
  <si>
    <t>images with motion artifacts, GABAergic agents prior to recruitment, other CNS disorders</t>
  </si>
  <si>
    <t>GABAergic agents, steroid treatments</t>
  </si>
  <si>
    <t>Regional GABA levels modulate abnormal resting-state network functional connectivity and cognitive impairment in multiple sclerosis.</t>
  </si>
  <si>
    <t>Zhang</t>
  </si>
  <si>
    <t>all participants: right-handed, without MRI contraindications; patients: fufilled McDonald criteria for RRMS</t>
  </si>
  <si>
    <t>patients: underwent clinical relapse and corticoid treatments within 3 months prior to study entry, pharmacological treatment with GABAergic activators, history of neurology or psychiatry diseases except MS, previous or current history of substance abuse or dependence; controls: previous neurological or psychiatric disease, substance abuse history</t>
  </si>
  <si>
    <t>GABAregic activators, or corticoid treatments within 3 months of study entry</t>
  </si>
  <si>
    <t>Use_in_analysis</t>
  </si>
  <si>
    <t>Donadieu 2016c</t>
  </si>
  <si>
    <t>Donadieu 2016d</t>
  </si>
  <si>
    <t>Donadieu 2016e</t>
  </si>
  <si>
    <t>Donadieu 2016f</t>
  </si>
  <si>
    <t>Donadieu 2016g</t>
  </si>
  <si>
    <t>Donadieu 2016h</t>
  </si>
  <si>
    <t>Donadieu 2016i</t>
  </si>
  <si>
    <t>Donadieu 2016j</t>
  </si>
  <si>
    <t>Donadieu 2016k</t>
  </si>
  <si>
    <t>Donadieu 2016l</t>
  </si>
  <si>
    <t>Donadieu 2016m</t>
  </si>
  <si>
    <t>Donadieu 2016n</t>
  </si>
  <si>
    <t>Donadieu 2016o</t>
  </si>
  <si>
    <t>Donadieu 2016p</t>
  </si>
  <si>
    <t>Donadieu 2016q</t>
  </si>
  <si>
    <t>Donadieu 2016r</t>
  </si>
  <si>
    <t>Donadieu 2016s</t>
  </si>
  <si>
    <t>Donadieu 2016t</t>
  </si>
  <si>
    <t>Donadieu 2016u</t>
  </si>
  <si>
    <t>Donadieu 2016v</t>
  </si>
  <si>
    <t>Donadieu 2016w</t>
  </si>
  <si>
    <t>Donadieu 2016x</t>
  </si>
  <si>
    <t>Donadieu 2016y</t>
  </si>
  <si>
    <t>Donadieu 2016z</t>
  </si>
  <si>
    <t>Donadieu 2016aa</t>
  </si>
  <si>
    <t>Bogdan 2017a</t>
  </si>
  <si>
    <t>Bogdan 2017b</t>
  </si>
  <si>
    <t>Bogdan 2017c</t>
  </si>
  <si>
    <t>Bogdan 2017d</t>
  </si>
  <si>
    <t>Bogdan 2017e</t>
  </si>
  <si>
    <t>Bogdan 2017f</t>
  </si>
  <si>
    <t>Bogdan 2017g</t>
  </si>
  <si>
    <t>Bogdan 2017h</t>
  </si>
  <si>
    <t>Bogdan 2017i</t>
  </si>
  <si>
    <t>Bogdan 2017j</t>
  </si>
  <si>
    <t>Bogdan 2017k</t>
  </si>
  <si>
    <t>Bogdan 2017l</t>
  </si>
  <si>
    <t>Bogdan 2017m</t>
  </si>
  <si>
    <t>Bogdan 2017n</t>
  </si>
  <si>
    <t>Bogdan 2017o</t>
  </si>
  <si>
    <t>Bogdan 2017p</t>
  </si>
  <si>
    <t>Bogdan 2017q</t>
  </si>
  <si>
    <t>Bogdan 2017r</t>
  </si>
  <si>
    <t>Bogdan 2017s</t>
  </si>
  <si>
    <t>Bogdan 2017t</t>
  </si>
  <si>
    <t>Bogdan 2017u</t>
  </si>
  <si>
    <t>Bogdan 2017v</t>
  </si>
  <si>
    <t>Bogdan 2017w</t>
  </si>
  <si>
    <t>Bogdan 2017x</t>
  </si>
  <si>
    <t>Bogdan 2017y</t>
  </si>
  <si>
    <t>Bogdan 2017z</t>
  </si>
  <si>
    <t>Bogdan 2017aa</t>
  </si>
  <si>
    <t>Bogdan 2017ab</t>
  </si>
  <si>
    <t>Bogdan 2017ac</t>
  </si>
  <si>
    <t>Bogdan 2017ad</t>
  </si>
  <si>
    <t>Bogdan 2017ae</t>
  </si>
  <si>
    <t>Bogdan 2017af</t>
  </si>
  <si>
    <t>Bogdan 2017ag</t>
  </si>
  <si>
    <t>Bogdan 2017ah</t>
  </si>
  <si>
    <t>Bogdan 2017ai</t>
  </si>
  <si>
    <t>Bogdan 2017aj</t>
  </si>
  <si>
    <t>Donadieu 2016a</t>
  </si>
  <si>
    <t>Donadieu 2016b</t>
  </si>
  <si>
    <t>Donadieu 2019a</t>
  </si>
  <si>
    <t>Donadieu 2019b</t>
  </si>
  <si>
    <t>Nantes 2017a</t>
  </si>
  <si>
    <t>P&lt;0.01</t>
  </si>
  <si>
    <t>Nantes 2017b</t>
  </si>
  <si>
    <t>Polacek 2019a</t>
  </si>
  <si>
    <t>Polacek 2019b</t>
  </si>
  <si>
    <t>Quadrelli 2019a</t>
  </si>
  <si>
    <t>Quadrelli 2019b</t>
  </si>
  <si>
    <t>Quadrelli 2019c</t>
  </si>
  <si>
    <t>Quadrelli 2019d</t>
  </si>
  <si>
    <t>Sastre-Garriga 2005a</t>
  </si>
  <si>
    <t>Sastre-Garriga 2005b</t>
  </si>
  <si>
    <t>Tiberio 2006a</t>
  </si>
  <si>
    <t>Tiberio 2006b</t>
  </si>
  <si>
    <t>Tisell 2013a</t>
  </si>
  <si>
    <t>P&lt;0.001</t>
  </si>
  <si>
    <t>Tisell 2013b</t>
  </si>
  <si>
    <t>Tisell 2013c</t>
  </si>
  <si>
    <t>Tisell 2013d</t>
  </si>
  <si>
    <t>Tisell 2013e</t>
  </si>
  <si>
    <t>Tisell 2013f</t>
  </si>
  <si>
    <t>Tisell 2013g</t>
  </si>
  <si>
    <t>Tisell 2013h</t>
  </si>
  <si>
    <t>Metabolite Type: either Glx, Glu or Gln</t>
  </si>
  <si>
    <t>Effect Direction (case - control) = 1 if case &gt; control</t>
  </si>
  <si>
    <t>Echo Time &amp; Repetition TIme(in ms)</t>
  </si>
  <si>
    <t>Al-iedani 2020a</t>
  </si>
  <si>
    <t>Al-iedani 2020b</t>
  </si>
  <si>
    <t>Al-iedani 2020c</t>
  </si>
  <si>
    <t>Al-iedani 2020d</t>
  </si>
  <si>
    <t>Arm 2021 2a</t>
  </si>
  <si>
    <t>Arm 2021 2b</t>
  </si>
  <si>
    <t>Arm 2021 2c</t>
  </si>
  <si>
    <t>Arm 2021 2d</t>
  </si>
  <si>
    <t>Azevedo 2014a</t>
  </si>
  <si>
    <t>Azevedo 2014b</t>
  </si>
  <si>
    <t>Azevedo 2014c</t>
  </si>
  <si>
    <t>Azevedo 2014d</t>
  </si>
  <si>
    <t>Azevedo 2014e</t>
  </si>
  <si>
    <t>Azevedo 2014f</t>
  </si>
  <si>
    <t>Azevedo 2014g</t>
  </si>
  <si>
    <t>Azevedo 2014h</t>
  </si>
  <si>
    <t>Azevedo 2014i</t>
  </si>
  <si>
    <t>Azevedo 2014j</t>
  </si>
  <si>
    <t>Azevedo 2014k</t>
  </si>
  <si>
    <t>Azevedo 2014l</t>
  </si>
  <si>
    <t>Cawley 2015a</t>
  </si>
  <si>
    <t>Cawley 2015b</t>
  </si>
  <si>
    <t>Cawley 2015c</t>
  </si>
  <si>
    <t>Chard 2002a</t>
  </si>
  <si>
    <t>Chard 2002b</t>
  </si>
  <si>
    <t>Huiskamp 2023a</t>
  </si>
  <si>
    <t>Huiskamp 2023b</t>
  </si>
  <si>
    <t>Huiskamp 2023c</t>
  </si>
  <si>
    <t>Huiskamp 2023d</t>
  </si>
  <si>
    <t>Imrich 2021a</t>
  </si>
  <si>
    <t>Imrich 2021b</t>
  </si>
  <si>
    <t>Imrich 2021c</t>
  </si>
  <si>
    <t>Imrich 2021d</t>
  </si>
  <si>
    <t>John 2024a</t>
  </si>
  <si>
    <t>John 2024b</t>
  </si>
  <si>
    <t>Juchem 2023a</t>
  </si>
  <si>
    <t>Juchem 2023b</t>
  </si>
  <si>
    <t>Juchem 2023c</t>
  </si>
  <si>
    <t>Juchem 2023d</t>
  </si>
  <si>
    <t>Kantorová 2022a</t>
  </si>
  <si>
    <t>Kantorová 2022b</t>
  </si>
  <si>
    <t>Kantorová 2022c</t>
  </si>
  <si>
    <t>Kantorová 2022d</t>
  </si>
  <si>
    <t>Kantorová 2017a</t>
  </si>
  <si>
    <t>Kantorová 2017b</t>
  </si>
  <si>
    <t>Kara 2025a</t>
  </si>
  <si>
    <t>Kara 2025b</t>
  </si>
  <si>
    <t>Li 2024a</t>
  </si>
  <si>
    <t>Li 2024b</t>
  </si>
  <si>
    <t>Li 2024c</t>
  </si>
  <si>
    <t>Li 2024d</t>
  </si>
  <si>
    <t>Li 2024e</t>
  </si>
  <si>
    <t>Li 2024f</t>
  </si>
  <si>
    <t>Madsen 2024a</t>
  </si>
  <si>
    <t>Madsen 2024b</t>
  </si>
  <si>
    <t>Madsen 2024c</t>
  </si>
  <si>
    <t>Madsen 2024d</t>
  </si>
  <si>
    <t>Muhlert 2014a</t>
  </si>
  <si>
    <t>Muhlert 2014b</t>
  </si>
  <si>
    <t>Muhlert 2014c</t>
  </si>
  <si>
    <t>Muhlert 2014d</t>
  </si>
  <si>
    <t>Muhlert 2014e</t>
  </si>
  <si>
    <t>Muhlert 2014f</t>
  </si>
  <si>
    <t>Muhlert 2014g</t>
  </si>
  <si>
    <t>Muhlert 2014h</t>
  </si>
  <si>
    <t>Muhlert 2014i</t>
  </si>
  <si>
    <t>Muhlert 2014j</t>
  </si>
  <si>
    <t>Muhlert 2014k</t>
  </si>
  <si>
    <t>Muhlert 2014l</t>
  </si>
  <si>
    <t>Muhlert 2014m</t>
  </si>
  <si>
    <t>Muhlert 2014n</t>
  </si>
  <si>
    <t>Muhlert 2014o</t>
  </si>
  <si>
    <t>Muhlert 2014p</t>
  </si>
  <si>
    <t>Muhlert 2014q</t>
  </si>
  <si>
    <t>Muhlert 2014r</t>
  </si>
  <si>
    <t>Muhlert 2014s</t>
  </si>
  <si>
    <t>Muhlert 2014t</t>
  </si>
  <si>
    <t>Muhlert 2014u</t>
  </si>
  <si>
    <t>Muhlert 2014v</t>
  </si>
  <si>
    <t>Muhlert 2014w</t>
  </si>
  <si>
    <t>Muhlert 2014x</t>
  </si>
  <si>
    <t>Obert 2016a</t>
  </si>
  <si>
    <t>Obert 2016b</t>
  </si>
  <si>
    <t>Obert 2016c</t>
  </si>
  <si>
    <t>Obert 2016d</t>
  </si>
  <si>
    <t>Obert 2016e</t>
  </si>
  <si>
    <t>Obert 2016f</t>
  </si>
  <si>
    <t>Obert 2016g</t>
  </si>
  <si>
    <t>Obert 2016h</t>
  </si>
  <si>
    <t>Solana &amp; Martinez-Heras 2018a</t>
  </si>
  <si>
    <t>Solana &amp; Martinez-Heras 2018b</t>
  </si>
  <si>
    <t>Srinivasan 2005a</t>
  </si>
  <si>
    <t>Srinivasan 2005b</t>
  </si>
  <si>
    <t>Srinivasan 2005c</t>
  </si>
  <si>
    <t>Srinivasan 2005d</t>
  </si>
  <si>
    <t>Srinivasan 2005e</t>
  </si>
  <si>
    <t>Srinivasan 2005f</t>
  </si>
  <si>
    <t>Swanberg 2021a</t>
  </si>
  <si>
    <t>Swanberg 2021b</t>
  </si>
  <si>
    <t>Swanberg 2021c</t>
  </si>
  <si>
    <t>Swanberg 2021d</t>
  </si>
  <si>
    <t>Swanberg 2021e</t>
  </si>
  <si>
    <t>Swanberg 2021f</t>
  </si>
  <si>
    <t>Swanberg 2021h</t>
  </si>
  <si>
    <t>Swanberg 2021g</t>
  </si>
  <si>
    <t>Swanberg 2021i</t>
  </si>
  <si>
    <t>Vrenken 2005a</t>
  </si>
  <si>
    <t>Vrenken 2005b</t>
  </si>
  <si>
    <t>Vrenken 2005c</t>
  </si>
  <si>
    <t>Vrenken 2005d</t>
  </si>
  <si>
    <t>Vrenken 2005e</t>
  </si>
  <si>
    <t>Vrenken 2005f</t>
  </si>
  <si>
    <t>Vrenken 2005g</t>
  </si>
  <si>
    <t>Vrenken 2005h</t>
  </si>
  <si>
    <t>Wiebenga 2015a</t>
  </si>
  <si>
    <t>Wiebenga 2015b</t>
  </si>
  <si>
    <t>Wiebenga 2015c</t>
  </si>
  <si>
    <t>Wiebenga 2015d</t>
  </si>
  <si>
    <t>Wiebenga 2015e</t>
  </si>
  <si>
    <t>Wiebenga 2015f</t>
  </si>
  <si>
    <t>Wiebenga 2015g</t>
  </si>
  <si>
    <t>Wiebenga 2015h</t>
  </si>
  <si>
    <t>Wiebenga 2015i</t>
  </si>
  <si>
    <t>Wiebenga 2015j</t>
  </si>
  <si>
    <t>Wiebenga 2015k</t>
  </si>
  <si>
    <t>Wiebenga 2015l</t>
  </si>
  <si>
    <t>Wiebenga 2015m</t>
  </si>
  <si>
    <t>Wiebenga 2015n</t>
  </si>
  <si>
    <t>Wiebenga 2015o</t>
  </si>
  <si>
    <t>Wiebenga 2015p</t>
  </si>
  <si>
    <t>Zhang 2024a</t>
  </si>
  <si>
    <t>Zhang 2024b</t>
  </si>
  <si>
    <t>Zhang 2024c</t>
  </si>
  <si>
    <t>Mean_Disease_duration</t>
  </si>
  <si>
    <t>Mean_Case_Age</t>
  </si>
  <si>
    <t>Mean_Control_Age</t>
  </si>
  <si>
    <t>range 31-33</t>
  </si>
  <si>
    <t>GM_Tissue_case_mean_pct</t>
  </si>
  <si>
    <t>GM_Tissue_case_SD_pct</t>
  </si>
  <si>
    <t>GM_Tissue_control_mean_pct</t>
  </si>
  <si>
    <t>GM_Tissue_control_SD_pct</t>
  </si>
  <si>
    <t>WM_Tissue_case_mean_pct</t>
  </si>
  <si>
    <t>WM_Tissue_case_SD_pct</t>
  </si>
  <si>
    <t>WM_Tissue_control_mean_pct</t>
  </si>
  <si>
    <t>WM_Tissue_control_SD_pct</t>
  </si>
  <si>
    <t>CSF_case_mean_pct</t>
  </si>
  <si>
    <t>CSF_case_SD_pct</t>
  </si>
  <si>
    <t>CSF_control_mean_pct</t>
  </si>
  <si>
    <t>CSF_control_SD_pct</t>
  </si>
  <si>
    <t>Mean_CRLB_Case_pct</t>
  </si>
  <si>
    <t>SD_CRLB_Case_pct</t>
  </si>
  <si>
    <t>Mean_CRLB_Control_pct</t>
  </si>
  <si>
    <t>SD_CRLB_Control_pct</t>
  </si>
  <si>
    <t>CRLB_Thresh_pct</t>
  </si>
  <si>
    <t>Brain_Region_Grouping</t>
  </si>
  <si>
    <t>Cingulate</t>
  </si>
  <si>
    <t>Frontal</t>
  </si>
  <si>
    <t>Motor</t>
  </si>
  <si>
    <t>Hippocampus_MTL</t>
  </si>
  <si>
    <t>GM_unspecified</t>
  </si>
  <si>
    <t>WM_unspecified</t>
  </si>
  <si>
    <t>Thalamus_hypothalamus</t>
  </si>
  <si>
    <t>Occipital</t>
  </si>
  <si>
    <t>Dx_Grouping</t>
  </si>
  <si>
    <t>MS_unspecified_or_mixed</t>
  </si>
  <si>
    <t>Sequence_MRSQ_Grouping</t>
  </si>
  <si>
    <t>LASER_variant</t>
  </si>
  <si>
    <t>PRESS_edited</t>
  </si>
  <si>
    <t>L_COSY</t>
  </si>
  <si>
    <t>CSI_2D</t>
  </si>
  <si>
    <t>Med_Grouping</t>
  </si>
  <si>
    <t>Immunomodulatory_generic</t>
  </si>
  <si>
    <t>Multiple_DMTs</t>
  </si>
  <si>
    <t>Interferon_beta</t>
  </si>
  <si>
    <t>Interferon-b_or_glatiramer acetate</t>
  </si>
  <si>
    <t>Basal_Ganglia</t>
  </si>
  <si>
    <t>Imputed</t>
  </si>
  <si>
    <t>PMID</t>
  </si>
  <si>
    <t>PMCID</t>
  </si>
  <si>
    <t>PMC8900256</t>
  </si>
  <si>
    <t>PMC4142752</t>
  </si>
  <si>
    <t>PMC4142753</t>
  </si>
  <si>
    <t>PMC4142754</t>
  </si>
  <si>
    <t>PMC4142755</t>
  </si>
  <si>
    <t>PMC4142756</t>
  </si>
  <si>
    <t>PMC4142757</t>
  </si>
  <si>
    <t>PMC4142758</t>
  </si>
  <si>
    <t>PMC4142759</t>
  </si>
  <si>
    <t>PMC4142760</t>
  </si>
  <si>
    <t>PMC4142761</t>
  </si>
  <si>
    <t>PMC4142762</t>
  </si>
  <si>
    <t>PMC4142763</t>
  </si>
  <si>
    <t>PMC4643627</t>
  </si>
  <si>
    <t>PMC4643628</t>
  </si>
  <si>
    <t>PMC4643629</t>
  </si>
  <si>
    <t>PMC6251738</t>
  </si>
  <si>
    <t>PMC10174207</t>
  </si>
  <si>
    <t>PMC10174208</t>
  </si>
  <si>
    <t>PMC10174209</t>
  </si>
  <si>
    <t>PMC10174210</t>
  </si>
  <si>
    <t>PMC11112078</t>
  </si>
  <si>
    <t>PMC11112079</t>
  </si>
  <si>
    <t>PMC10480324</t>
  </si>
  <si>
    <t>PMC10480325</t>
  </si>
  <si>
    <t>PMC10480326</t>
  </si>
  <si>
    <t>PMC10480327</t>
  </si>
  <si>
    <t>PMC12428814</t>
  </si>
  <si>
    <t>PMC12428815</t>
  </si>
  <si>
    <t xml:space="preserve">MRSI </t>
  </si>
  <si>
    <t>FWHM during shimming &gt; 25hz, fit error</t>
  </si>
  <si>
    <t>19</t>
  </si>
  <si>
    <t>pencil-beam automated shimming, fit error</t>
  </si>
  <si>
    <t>shimming, fit error</t>
  </si>
  <si>
    <t>shimming, FWHM, fit error</t>
  </si>
  <si>
    <t>FWHM, fit error</t>
  </si>
  <si>
    <t>fit error, FWHM</t>
  </si>
  <si>
    <t>TMT_A_control_mean</t>
  </si>
  <si>
    <t>TMT_A_control_sd</t>
  </si>
  <si>
    <t>TMT_A_case_mean</t>
  </si>
  <si>
    <t>TMT_A_case_sd</t>
  </si>
  <si>
    <t>TMT_B_control_mean</t>
  </si>
  <si>
    <t>TMT_B_control_sd</t>
  </si>
  <si>
    <t>TMT_B_case_mean</t>
  </si>
  <si>
    <t>TMT_B_case_sd</t>
  </si>
  <si>
    <t>TMT_B-A_control_mean</t>
  </si>
  <si>
    <t>TMT_B-A_control_sd</t>
  </si>
  <si>
    <t>TMT_B-A_case_mean</t>
  </si>
  <si>
    <t>TMT_B-A_case_sd</t>
  </si>
  <si>
    <t>Case_SE</t>
  </si>
  <si>
    <t>Control_SE</t>
  </si>
  <si>
    <t>Voxel_Size_other</t>
  </si>
  <si>
    <t>Voxel_Size_other_unit</t>
  </si>
  <si>
    <t>mL</t>
  </si>
  <si>
    <t>16x16 matrix, 10x10x10mm3, TR=2800ms</t>
  </si>
  <si>
    <t>VOI_Size_mm3</t>
  </si>
  <si>
    <t>100x80x40</t>
  </si>
  <si>
    <t>12x10x15mm3, TR=1000ms</t>
  </si>
  <si>
    <t>24x24 matrix, 12.5x12.5x15mm3, TR=3000ms</t>
  </si>
  <si>
    <t>97x67x15</t>
  </si>
  <si>
    <t>100x100 matrix, 2.2x2.2x8mm3, TR=200ms</t>
  </si>
  <si>
    <t>10x10, 16x16 interpolated matrix, 2000mm3, TR=1600ms</t>
  </si>
  <si>
    <t>cubic centimeter (cc)</t>
  </si>
  <si>
    <t>90x80x50</t>
  </si>
  <si>
    <t>10x10, 16x16 interpolated matrix, 10x10x12.5mm3, TR=1500ms</t>
  </si>
  <si>
    <t>50x60x35</t>
  </si>
  <si>
    <t>8x8 matrix, 10x10x12mm3, TR=4000ms</t>
  </si>
  <si>
    <t>10x10x12</t>
  </si>
  <si>
    <t>80x80x12</t>
  </si>
  <si>
    <t>1300 or 1500 mL</t>
  </si>
  <si>
    <t>1.3 or 1.5</t>
  </si>
  <si>
    <t>70x80 or 80x100</t>
  </si>
  <si>
    <t>128 averages, 18.75mm3 voxel, TE=68ms</t>
  </si>
  <si>
    <t>128 averages, 15.62mm3 voxel, TE=68ms</t>
  </si>
  <si>
    <t>576 averages, 30x19.2x16mm3, TE=68ms</t>
  </si>
  <si>
    <t>400 averages, 35x34x22mm3, TE=68ms</t>
  </si>
  <si>
    <t>432 averages, 28x30x22mm3, TE=68ms</t>
  </si>
  <si>
    <t>256 Averages, 20x20x20mm3, TE=20ms</t>
  </si>
  <si>
    <t>192 averages, size varied roughly vol of 20cm3, TE=30ms</t>
  </si>
  <si>
    <t>32 averages, 40x20x20mm3, TE=35ms</t>
  </si>
  <si>
    <t>64 averages, 14x20x36mm3, TE=35ms</t>
  </si>
  <si>
    <t>64 averages, 16x28x24mm3, TE=35ms</t>
  </si>
  <si>
    <t>128 Averages, 12x12x12mm3, TE=30ms</t>
  </si>
  <si>
    <t>96 Averages, 25x25x25mm3, TE=10ms</t>
  </si>
  <si>
    <t>64 Averages, 21x34x14mm3, TE=30ms</t>
  </si>
  <si>
    <t>32 Averages, 30x30x20mm3, TE=35ms</t>
  </si>
  <si>
    <t>32 Averages, 20x30x30mm3, TE=35ms</t>
  </si>
  <si>
    <t>32 Averages, 40x20x20mm3, TE=35ms</t>
  </si>
  <si>
    <t>32 Averages, 20x20x20mm3, TE=31-33ms</t>
  </si>
  <si>
    <t>144 Averages, 26x16x16mm3, TE=30ms</t>
  </si>
  <si>
    <t>48 Averages, 30x25x16mm3, TE=30ms</t>
  </si>
  <si>
    <t>48 Averages, 25x25x25mm3, TE=30ms</t>
  </si>
  <si>
    <t>27x27x27mm3, TE=68ms</t>
  </si>
  <si>
    <t>64 Averages, 3060mm3, TE=20ms</t>
  </si>
  <si>
    <t>768 Averages, 30x30x30mm3</t>
  </si>
  <si>
    <t>256 Averages,8000mm3, TE=35ms</t>
  </si>
  <si>
    <t>64 Averages, 30x30x30mm3, TE=10ms</t>
  </si>
  <si>
    <t>128 Averages, 3030mm3, TE=30ms</t>
  </si>
  <si>
    <t>128 Averages, 2430mm3, TE=30ms</t>
  </si>
  <si>
    <t>cubic centimeters (cc)</t>
  </si>
  <si>
    <t>64 Averages, 16x25x16mm3, TE=20ms</t>
  </si>
  <si>
    <t>16 Averages, 50x30x30mm3, TE=68ms</t>
  </si>
  <si>
    <t>32 Averages, 29x30x30cm3, TE=35ms</t>
  </si>
  <si>
    <t>32 Averages, 40x20x20cm3, TE=35ms</t>
  </si>
  <si>
    <t>PMC4112488</t>
  </si>
  <si>
    <t>PMC4112489</t>
  </si>
  <si>
    <t>PMC4112490</t>
  </si>
  <si>
    <t>PMC4112491</t>
  </si>
  <si>
    <t>PMC4112492</t>
  </si>
  <si>
    <t>PMC4112493</t>
  </si>
  <si>
    <t>PMC4112494</t>
  </si>
  <si>
    <t>PMC4112495</t>
  </si>
  <si>
    <t>PMC4112496</t>
  </si>
  <si>
    <t>PMC4112497</t>
  </si>
  <si>
    <t>PMC4112498</t>
  </si>
  <si>
    <t>PMC4112499</t>
  </si>
  <si>
    <t>PMC4112500</t>
  </si>
  <si>
    <t>PMC4112501</t>
  </si>
  <si>
    <t>PMC4112502</t>
  </si>
  <si>
    <t>PMC4112503</t>
  </si>
  <si>
    <t>PMC4112504</t>
  </si>
  <si>
    <t>PMC4112505</t>
  </si>
  <si>
    <t>PMC4112506</t>
  </si>
  <si>
    <t>PMC4112507</t>
  </si>
  <si>
    <t>PMC4112508</t>
  </si>
  <si>
    <t>PMC4112509</t>
  </si>
  <si>
    <t>PMC4112510</t>
  </si>
  <si>
    <t>PMC4112511</t>
  </si>
  <si>
    <t>PMC5026363</t>
  </si>
  <si>
    <t>PMC5026364</t>
  </si>
  <si>
    <t>PMC5026365</t>
  </si>
  <si>
    <t>PMC5026366</t>
  </si>
  <si>
    <t>PMC5026367</t>
  </si>
  <si>
    <t>PMC5026368</t>
  </si>
  <si>
    <t>PMC5026369</t>
  </si>
  <si>
    <t>PMC5026370</t>
  </si>
  <si>
    <t>PMC6801886</t>
  </si>
  <si>
    <t>PMC6801887</t>
  </si>
  <si>
    <t>PMC6801888</t>
  </si>
  <si>
    <t>PMC6801889</t>
  </si>
  <si>
    <t>PMC6072676</t>
  </si>
  <si>
    <t>PMC3629257</t>
  </si>
  <si>
    <t>PMC3629258</t>
  </si>
  <si>
    <t>PMC3629259</t>
  </si>
  <si>
    <t>PMC3629260</t>
  </si>
  <si>
    <t>PMC3629261</t>
  </si>
  <si>
    <t>PMC3629262</t>
  </si>
  <si>
    <t>PMC3629263</t>
  </si>
  <si>
    <t>PMC3629264</t>
  </si>
  <si>
    <t>PMC8013024</t>
  </si>
  <si>
    <t>PMC8013025</t>
  </si>
  <si>
    <t>PMC8013026</t>
  </si>
  <si>
    <t>PMC8013027</t>
  </si>
  <si>
    <t>PMC8013028</t>
  </si>
  <si>
    <t>PMC8013029</t>
  </si>
  <si>
    <t>PMC8013030</t>
  </si>
  <si>
    <t>PMC8013031</t>
  </si>
  <si>
    <t>PMC8013032</t>
  </si>
  <si>
    <t>PMC8013033</t>
  </si>
  <si>
    <t>PMC8013034</t>
  </si>
  <si>
    <t>PMC8013035</t>
  </si>
  <si>
    <t>PMC8013036</t>
  </si>
  <si>
    <t>PMC8013037</t>
  </si>
  <si>
    <t>PMC8013038</t>
  </si>
  <si>
    <t>PMC8013039</t>
  </si>
  <si>
    <t>PMC12397645</t>
  </si>
  <si>
    <t>Cortical</t>
  </si>
  <si>
    <t>Sub_Cortical</t>
  </si>
  <si>
    <t>Temporal</t>
  </si>
  <si>
    <t>Dx_Only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</si>
</sst>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
  </numFmts>
  <fonts count="18" x14ac:knownFonts="1">
    <font>
      <sz val="12"/>
      <color theme="1"/>
      <name val="Aptos Narrow"/>
      <family val="2"/>
      <scheme val="minor"/>
    </font>
    <font>
      <u/>
      <sz val="12"/>
      <color theme="10"/>
      <name val="Aptos Narrow"/>
      <family val="2"/>
      <scheme val="minor"/>
    </font>
    <font>
      <b/>
      <sz val="10"/>
      <color indexed="8"/>
      <name val="Helvetica Neue"/>
      <family val="2"/>
    </font>
    <font>
      <b/>
      <sz val="10"/>
      <color theme="1"/>
      <name val="Helvetica Neue"/>
      <family val="2"/>
    </font>
    <font>
      <b/>
      <sz val="10"/>
      <color rgb="FF000000"/>
      <name val="Helvetica Neue"/>
      <family val="2"/>
    </font>
    <font>
      <sz val="10"/>
      <color indexed="8"/>
      <name val="Helvetica Neue"/>
      <family val="2"/>
    </font>
    <font>
      <sz val="10"/>
      <color theme="1"/>
      <name val="Helvetica Neue"/>
      <family val="2"/>
    </font>
    <font>
      <u/>
      <sz val="10"/>
      <color theme="1"/>
      <name val="Helvetica Neue"/>
      <family val="2"/>
    </font>
    <font>
      <sz val="10"/>
      <name val="Helvetica Neue"/>
      <family val="2"/>
    </font>
    <font>
      <sz val="10"/>
      <color rgb="FF000000"/>
      <name val="Helvetica Neue"/>
      <family val="2"/>
    </font>
    <font>
      <sz val="10"/>
      <color rgb="FFCC99FF"/>
      <name val="Helvetica Neue"/>
      <family val="2"/>
    </font>
    <font>
      <sz val="10"/>
      <color rgb="FF002060"/>
      <name val="Helvetica Neue"/>
      <family val="2"/>
    </font>
    <font>
      <b/>
      <sz val="10"/>
      <color theme="1"/>
      <name val="Helvetica"/>
      <family val="2"/>
    </font>
    <font>
      <sz val="12"/>
      <color rgb="FF000000"/>
      <name val="Calibri"/>
      <family val="2"/>
    </font>
    <font>
      <sz val="10"/>
      <color theme="1"/>
      <name val="Helvetica"/>
      <family val="2"/>
    </font>
    <font>
      <sz val="10"/>
      <color indexed="8"/>
      <name val="Helvetica"/>
      <family val="2"/>
    </font>
    <font>
      <sz val="8"/>
      <name val="Aptos Narrow"/>
      <family val="2"/>
      <scheme val="minor"/>
    </font>
    <font>
      <sz val="12"/>
      <color rgb="FF000000"/>
      <name val="Aptos Narrow"/>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theme="1"/>
      </top>
      <bottom style="thin">
        <color theme="1"/>
      </bottom>
      <diagonal/>
    </border>
    <border>
      <left style="thin">
        <color indexed="64"/>
      </left>
      <right style="thin">
        <color indexed="64"/>
      </right>
      <top/>
      <bottom/>
      <diagonal/>
    </border>
    <border>
      <left/>
      <right style="thin">
        <color theme="1"/>
      </right>
      <top style="thin">
        <color theme="1"/>
      </top>
      <bottom style="thin">
        <color theme="1"/>
      </bottom>
      <diagonal/>
    </border>
    <border>
      <left style="thin">
        <color theme="1"/>
      </left>
      <right/>
      <top style="thin">
        <color theme="1"/>
      </top>
      <bottom style="thin">
        <color theme="1"/>
      </bottom>
      <diagonal/>
    </border>
  </borders>
  <cellStyleXfs count="2">
    <xf numFmtId="0" fontId="0" fillId="0" borderId="0"/>
    <xf numFmtId="0" fontId="1" fillId="0" borderId="0" applyNumberFormat="0" applyFill="0" applyBorder="0" applyAlignment="0" applyProtection="0"/>
  </cellStyleXfs>
  <cellXfs count="177">
    <xf numFmtId="0" fontId="0" fillId="0" borderId="0" xfId="0"/>
    <xf numFmtId="0" fontId="2" fillId="2" borderId="1" xfId="0" applyFont="1" applyFill="1" applyBorder="1" applyAlignment="1">
      <alignment vertical="top" wrapText="1"/>
    </xf>
    <xf numFmtId="49" fontId="2" fillId="2" borderId="1" xfId="0" applyNumberFormat="1" applyFont="1" applyFill="1" applyBorder="1" applyAlignment="1">
      <alignment vertical="top" wrapText="1"/>
    </xf>
    <xf numFmtId="49" fontId="3" fillId="2" borderId="1" xfId="0" applyNumberFormat="1" applyFont="1" applyFill="1" applyBorder="1" applyAlignment="1">
      <alignment vertical="top" wrapText="1"/>
    </xf>
    <xf numFmtId="0" fontId="0" fillId="2" borderId="1" xfId="0" applyFill="1" applyBorder="1" applyAlignment="1">
      <alignment vertical="top" wrapText="1"/>
    </xf>
    <xf numFmtId="0" fontId="5" fillId="0" borderId="1" xfId="0" applyFont="1" applyBorder="1" applyAlignment="1">
      <alignment vertical="top" wrapText="1"/>
    </xf>
    <xf numFmtId="0" fontId="0" fillId="0" borderId="1" xfId="0" applyBorder="1" applyAlignment="1">
      <alignment vertical="top" wrapText="1"/>
    </xf>
    <xf numFmtId="0" fontId="5" fillId="0" borderId="1" xfId="0" applyFont="1" applyBorder="1" applyAlignment="1">
      <alignment vertical="top"/>
    </xf>
    <xf numFmtId="0" fontId="0" fillId="0" borderId="1" xfId="0" applyBorder="1" applyAlignment="1">
      <alignment vertical="top"/>
    </xf>
    <xf numFmtId="0" fontId="7" fillId="0" borderId="1" xfId="1" applyNumberFormat="1" applyFont="1" applyFill="1" applyBorder="1" applyAlignment="1">
      <alignment vertical="top"/>
    </xf>
    <xf numFmtId="164" fontId="0" fillId="0" borderId="1" xfId="0" applyNumberFormat="1" applyBorder="1" applyAlignment="1">
      <alignment vertical="top"/>
    </xf>
    <xf numFmtId="2" fontId="0" fillId="0" borderId="1" xfId="0" applyNumberFormat="1" applyBorder="1" applyAlignment="1">
      <alignment vertical="top"/>
    </xf>
    <xf numFmtId="0" fontId="1" fillId="0" borderId="1" xfId="1" applyNumberFormat="1" applyFill="1" applyBorder="1" applyAlignment="1">
      <alignment vertical="top"/>
    </xf>
    <xf numFmtId="0" fontId="1" fillId="0" borderId="1" xfId="1" applyNumberFormat="1" applyFill="1" applyBorder="1" applyAlignment="1">
      <alignment vertical="top" wrapText="1"/>
    </xf>
    <xf numFmtId="49" fontId="2" fillId="2" borderId="1" xfId="0" applyNumberFormat="1" applyFont="1" applyFill="1" applyBorder="1" applyAlignment="1">
      <alignment vertical="top"/>
    </xf>
    <xf numFmtId="0" fontId="12" fillId="2" borderId="1" xfId="0" applyFont="1" applyFill="1" applyBorder="1" applyAlignment="1">
      <alignment vertical="top"/>
    </xf>
    <xf numFmtId="0" fontId="0" fillId="0" borderId="0" xfId="0" applyAlignment="1">
      <alignment vertical="top" wrapText="1"/>
    </xf>
    <xf numFmtId="0" fontId="13" fillId="0" borderId="0" xfId="0" applyFont="1"/>
    <xf numFmtId="0" fontId="2" fillId="0" borderId="1" xfId="0" applyFont="1" applyBorder="1" applyAlignment="1">
      <alignment vertical="top" wrapText="1"/>
    </xf>
    <xf numFmtId="49" fontId="5" fillId="0" borderId="1" xfId="0" applyNumberFormat="1" applyFont="1" applyBorder="1" applyAlignment="1">
      <alignment vertical="top"/>
    </xf>
    <xf numFmtId="49" fontId="0" fillId="0" borderId="1" xfId="0" applyNumberFormat="1" applyBorder="1" applyAlignment="1">
      <alignment vertical="top" wrapText="1"/>
    </xf>
    <xf numFmtId="49" fontId="6" fillId="0" borderId="1" xfId="0" applyNumberFormat="1" applyFont="1" applyBorder="1" applyAlignment="1">
      <alignment vertical="top" wrapText="1"/>
    </xf>
    <xf numFmtId="49" fontId="5" fillId="0" borderId="1" xfId="0" applyNumberFormat="1" applyFont="1" applyBorder="1" applyAlignment="1">
      <alignment vertical="top" wrapText="1"/>
    </xf>
    <xf numFmtId="49" fontId="15" fillId="0" borderId="1" xfId="0" applyNumberFormat="1" applyFont="1" applyBorder="1" applyAlignment="1">
      <alignment vertical="top" wrapText="1"/>
    </xf>
    <xf numFmtId="49" fontId="5" fillId="0" borderId="1" xfId="0" applyNumberFormat="1" applyFont="1" applyBorder="1" applyAlignment="1">
      <alignment horizontal="right" vertical="top" wrapText="1"/>
    </xf>
    <xf numFmtId="49" fontId="0" fillId="0" borderId="1" xfId="0" applyNumberFormat="1" applyBorder="1" applyAlignment="1">
      <alignment horizontal="right" vertical="top" wrapText="1"/>
    </xf>
    <xf numFmtId="164" fontId="0" fillId="0" borderId="1" xfId="0" applyNumberFormat="1" applyBorder="1" applyAlignment="1">
      <alignment vertical="top" wrapText="1"/>
    </xf>
    <xf numFmtId="165" fontId="5" fillId="0" borderId="1" xfId="0" applyNumberFormat="1" applyFont="1" applyBorder="1" applyAlignment="1">
      <alignment vertical="top" wrapText="1"/>
    </xf>
    <xf numFmtId="1" fontId="0" fillId="0" borderId="1" xfId="0" applyNumberFormat="1" applyBorder="1" applyAlignment="1">
      <alignment vertical="top" wrapText="1"/>
    </xf>
    <xf numFmtId="165" fontId="0" fillId="0" borderId="1" xfId="0" applyNumberFormat="1" applyBorder="1" applyAlignment="1">
      <alignment vertical="top" wrapText="1"/>
    </xf>
    <xf numFmtId="1" fontId="5" fillId="0" borderId="1" xfId="0" applyNumberFormat="1" applyFont="1" applyBorder="1" applyAlignment="1">
      <alignment vertical="top" wrapText="1"/>
    </xf>
    <xf numFmtId="2" fontId="0" fillId="0" borderId="1" xfId="0" applyNumberFormat="1" applyBorder="1" applyAlignment="1">
      <alignment vertical="top" wrapText="1"/>
    </xf>
    <xf numFmtId="0" fontId="15" fillId="0" borderId="1" xfId="0" applyFont="1" applyBorder="1" applyAlignment="1">
      <alignment vertical="top" wrapText="1"/>
    </xf>
    <xf numFmtId="0" fontId="5" fillId="0" borderId="1" xfId="0" applyFont="1" applyBorder="1" applyAlignment="1">
      <alignment horizontal="right" vertical="top" wrapText="1"/>
    </xf>
    <xf numFmtId="49" fontId="17" fillId="0" borderId="1" xfId="0" applyNumberFormat="1" applyFont="1" applyBorder="1" applyAlignment="1">
      <alignment vertical="top" wrapText="1"/>
    </xf>
    <xf numFmtId="0" fontId="2" fillId="0" borderId="1" xfId="0" applyFont="1" applyBorder="1" applyAlignment="1">
      <alignment vertical="top"/>
    </xf>
    <xf numFmtId="0" fontId="15" fillId="0" borderId="1" xfId="0" applyFont="1" applyBorder="1" applyAlignment="1">
      <alignment vertical="top"/>
    </xf>
    <xf numFmtId="0" fontId="14" fillId="0" borderId="1" xfId="0" applyFont="1" applyBorder="1" applyAlignment="1">
      <alignment vertical="top"/>
    </xf>
    <xf numFmtId="2" fontId="5" fillId="0" borderId="1" xfId="0" applyNumberFormat="1" applyFont="1" applyBorder="1" applyAlignment="1">
      <alignment vertical="top"/>
    </xf>
    <xf numFmtId="2" fontId="5" fillId="0" borderId="1" xfId="0" applyNumberFormat="1" applyFont="1" applyBorder="1" applyAlignment="1">
      <alignment vertical="top" wrapText="1"/>
    </xf>
    <xf numFmtId="0" fontId="10" fillId="0" borderId="1" xfId="0" applyFont="1" applyBorder="1" applyAlignment="1">
      <alignment vertical="top"/>
    </xf>
    <xf numFmtId="165" fontId="0" fillId="0" borderId="1" xfId="0" applyNumberFormat="1" applyBorder="1" applyAlignment="1">
      <alignment vertical="top"/>
    </xf>
    <xf numFmtId="165" fontId="5" fillId="0" borderId="1" xfId="0" applyNumberFormat="1" applyFont="1" applyBorder="1" applyAlignment="1">
      <alignment vertical="top"/>
    </xf>
    <xf numFmtId="1" fontId="0" fillId="0" borderId="1" xfId="0" applyNumberFormat="1" applyBorder="1" applyAlignment="1">
      <alignment vertical="top"/>
    </xf>
    <xf numFmtId="0" fontId="9" fillId="0" borderId="1" xfId="0" applyFont="1" applyBorder="1" applyAlignment="1">
      <alignment vertical="top"/>
    </xf>
    <xf numFmtId="166" fontId="0" fillId="0" borderId="1" xfId="0" applyNumberFormat="1" applyBorder="1" applyAlignment="1">
      <alignment vertical="top"/>
    </xf>
    <xf numFmtId="1" fontId="5" fillId="0" borderId="1" xfId="0" applyNumberFormat="1" applyFont="1" applyBorder="1" applyAlignment="1">
      <alignment vertical="top"/>
    </xf>
    <xf numFmtId="2" fontId="9" fillId="0" borderId="1" xfId="0" applyNumberFormat="1" applyFont="1" applyBorder="1" applyAlignment="1">
      <alignment vertical="top"/>
    </xf>
    <xf numFmtId="0" fontId="11" fillId="0" borderId="1" xfId="0" applyFont="1" applyBorder="1" applyAlignment="1">
      <alignment vertical="top"/>
    </xf>
    <xf numFmtId="0" fontId="8" fillId="0" borderId="1" xfId="0" applyFont="1" applyBorder="1" applyAlignment="1">
      <alignment vertical="top"/>
    </xf>
    <xf numFmtId="165" fontId="9" fillId="0" borderId="1" xfId="0" applyNumberFormat="1" applyFont="1" applyBorder="1" applyAlignment="1">
      <alignment vertical="top"/>
    </xf>
    <xf numFmtId="0" fontId="6" fillId="0" borderId="1" xfId="0" applyFont="1" applyBorder="1" applyAlignment="1">
      <alignment vertical="top" wrapText="1"/>
    </xf>
    <xf numFmtId="0" fontId="14" fillId="0" borderId="1" xfId="0" applyFont="1" applyBorder="1" applyAlignment="1">
      <alignment vertical="top" wrapText="1"/>
    </xf>
    <xf numFmtId="49" fontId="4" fillId="2" borderId="1" xfId="0" applyNumberFormat="1" applyFont="1" applyFill="1" applyBorder="1" applyAlignment="1">
      <alignment vertical="top" wrapText="1"/>
    </xf>
    <xf numFmtId="0" fontId="2" fillId="3" borderId="1" xfId="0" applyFont="1" applyFill="1" applyBorder="1" applyAlignment="1">
      <alignment vertical="top"/>
    </xf>
    <xf numFmtId="0" fontId="5" fillId="3" borderId="1" xfId="0" applyFont="1" applyFill="1" applyBorder="1" applyAlignment="1">
      <alignment vertical="top"/>
    </xf>
    <xf numFmtId="0" fontId="0" fillId="3" borderId="1" xfId="0" applyFill="1" applyBorder="1" applyAlignment="1">
      <alignment vertical="top"/>
    </xf>
    <xf numFmtId="0" fontId="7" fillId="3" borderId="1" xfId="1" applyNumberFormat="1" applyFont="1" applyFill="1" applyBorder="1" applyAlignment="1">
      <alignment vertical="top"/>
    </xf>
    <xf numFmtId="0" fontId="15" fillId="3" borderId="1" xfId="0" applyFont="1" applyFill="1" applyBorder="1" applyAlignment="1">
      <alignment vertical="top"/>
    </xf>
    <xf numFmtId="0" fontId="5" fillId="0" borderId="1" xfId="0" applyFont="1" applyFill="1" applyBorder="1" applyAlignment="1">
      <alignment vertical="top"/>
    </xf>
    <xf numFmtId="0" fontId="0" fillId="0" borderId="1" xfId="0" applyFill="1" applyBorder="1" applyAlignment="1">
      <alignment vertical="top"/>
    </xf>
    <xf numFmtId="0" fontId="0" fillId="0" borderId="1" xfId="0" applyFill="1" applyBorder="1" applyAlignment="1">
      <alignment vertical="top" wrapText="1"/>
    </xf>
    <xf numFmtId="164" fontId="0" fillId="0" borderId="1" xfId="0" applyNumberFormat="1" applyFill="1" applyBorder="1" applyAlignment="1">
      <alignment vertical="top"/>
    </xf>
    <xf numFmtId="0" fontId="5" fillId="0" borderId="2" xfId="0" applyFont="1" applyFill="1" applyBorder="1" applyAlignment="1">
      <alignment vertical="top"/>
    </xf>
    <xf numFmtId="0" fontId="0" fillId="0" borderId="2" xfId="0" applyBorder="1" applyAlignment="1">
      <alignment vertical="top"/>
    </xf>
    <xf numFmtId="2" fontId="0" fillId="0" borderId="2" xfId="0" applyNumberFormat="1" applyBorder="1" applyAlignment="1">
      <alignment vertical="top"/>
    </xf>
    <xf numFmtId="0" fontId="2" fillId="0" borderId="2" xfId="0" applyFont="1" applyBorder="1" applyAlignment="1">
      <alignment vertical="top" wrapText="1"/>
    </xf>
    <xf numFmtId="49" fontId="5" fillId="0" borderId="2" xfId="0" applyNumberFormat="1" applyFont="1" applyBorder="1" applyAlignment="1">
      <alignment vertical="top"/>
    </xf>
    <xf numFmtId="49" fontId="5" fillId="0" borderId="2" xfId="0" applyNumberFormat="1" applyFont="1" applyBorder="1" applyAlignment="1">
      <alignment vertical="top" wrapText="1"/>
    </xf>
    <xf numFmtId="49" fontId="0" fillId="0" borderId="2" xfId="0" applyNumberFormat="1" applyBorder="1" applyAlignment="1">
      <alignment vertical="top" wrapText="1"/>
    </xf>
    <xf numFmtId="0" fontId="0" fillId="0" borderId="2" xfId="0" applyBorder="1" applyAlignment="1">
      <alignment vertical="top" wrapText="1"/>
    </xf>
    <xf numFmtId="0" fontId="5" fillId="0" borderId="2" xfId="0" applyFont="1" applyBorder="1" applyAlignment="1">
      <alignment vertical="top"/>
    </xf>
    <xf numFmtId="49" fontId="6" fillId="0" borderId="2" xfId="0" applyNumberFormat="1" applyFont="1" applyBorder="1" applyAlignment="1">
      <alignment vertical="top" wrapText="1"/>
    </xf>
    <xf numFmtId="0" fontId="5" fillId="0" borderId="2" xfId="0" applyFont="1" applyBorder="1" applyAlignment="1">
      <alignment vertical="top" wrapText="1"/>
    </xf>
    <xf numFmtId="0" fontId="15" fillId="0" borderId="2" xfId="0" applyFont="1" applyBorder="1" applyAlignment="1">
      <alignment vertical="top" wrapText="1"/>
    </xf>
    <xf numFmtId="49" fontId="17" fillId="0" borderId="2" xfId="0" applyNumberFormat="1" applyFont="1" applyBorder="1" applyAlignment="1">
      <alignment vertical="top" wrapText="1"/>
    </xf>
    <xf numFmtId="0" fontId="5" fillId="0" borderId="2" xfId="0" applyFont="1" applyBorder="1" applyAlignment="1">
      <alignment horizontal="right" vertical="top" wrapText="1"/>
    </xf>
    <xf numFmtId="164" fontId="0" fillId="0" borderId="2" xfId="0" applyNumberFormat="1" applyBorder="1" applyAlignment="1">
      <alignment vertical="top" wrapText="1"/>
    </xf>
    <xf numFmtId="2" fontId="0" fillId="0" borderId="2" xfId="0" applyNumberFormat="1" applyBorder="1" applyAlignment="1">
      <alignment vertical="top" wrapText="1"/>
    </xf>
    <xf numFmtId="165" fontId="5" fillId="0" borderId="2" xfId="0" applyNumberFormat="1" applyFont="1" applyBorder="1" applyAlignment="1">
      <alignment vertical="top" wrapText="1"/>
    </xf>
    <xf numFmtId="1" fontId="0" fillId="0" borderId="2" xfId="0" applyNumberFormat="1" applyBorder="1" applyAlignment="1">
      <alignment vertical="top" wrapText="1"/>
    </xf>
    <xf numFmtId="165" fontId="0" fillId="0" borderId="2" xfId="0" applyNumberFormat="1" applyBorder="1" applyAlignment="1">
      <alignment vertical="top" wrapText="1"/>
    </xf>
    <xf numFmtId="1" fontId="5" fillId="0" borderId="2" xfId="0" applyNumberFormat="1" applyFont="1" applyBorder="1" applyAlignment="1">
      <alignment vertical="top" wrapText="1"/>
    </xf>
    <xf numFmtId="0" fontId="2" fillId="0" borderId="3" xfId="0" applyFont="1" applyBorder="1" applyAlignment="1">
      <alignment vertical="top"/>
    </xf>
    <xf numFmtId="0" fontId="5" fillId="0" borderId="3" xfId="0" applyFont="1" applyBorder="1" applyAlignment="1">
      <alignment vertical="top"/>
    </xf>
    <xf numFmtId="0" fontId="0" fillId="0" borderId="3" xfId="0" applyBorder="1" applyAlignment="1">
      <alignment vertical="top"/>
    </xf>
    <xf numFmtId="0" fontId="7" fillId="0" borderId="3" xfId="1" applyNumberFormat="1" applyFont="1" applyFill="1" applyBorder="1" applyAlignment="1">
      <alignment vertical="top"/>
    </xf>
    <xf numFmtId="0" fontId="15" fillId="0" borderId="3" xfId="0" applyFont="1" applyBorder="1" applyAlignment="1">
      <alignment vertical="top"/>
    </xf>
    <xf numFmtId="2" fontId="0" fillId="0" borderId="3" xfId="0" applyNumberFormat="1" applyBorder="1" applyAlignment="1">
      <alignment vertical="top"/>
    </xf>
    <xf numFmtId="0" fontId="5" fillId="0" borderId="3" xfId="0" applyFont="1" applyBorder="1" applyAlignment="1">
      <alignment vertical="top" wrapText="1"/>
    </xf>
    <xf numFmtId="0" fontId="0" fillId="0" borderId="3" xfId="0" applyBorder="1" applyAlignment="1">
      <alignment vertical="top" wrapText="1"/>
    </xf>
    <xf numFmtId="2" fontId="5" fillId="0" borderId="3" xfId="0" applyNumberFormat="1" applyFont="1" applyBorder="1" applyAlignment="1">
      <alignment vertical="top"/>
    </xf>
    <xf numFmtId="2" fontId="5" fillId="0" borderId="3" xfId="0" applyNumberFormat="1" applyFont="1" applyBorder="1" applyAlignment="1">
      <alignment vertical="top" wrapText="1"/>
    </xf>
    <xf numFmtId="1" fontId="0" fillId="0" borderId="3" xfId="0" applyNumberFormat="1" applyBorder="1" applyAlignment="1">
      <alignment vertical="top" wrapText="1"/>
    </xf>
    <xf numFmtId="165" fontId="0" fillId="0" borderId="3" xfId="0" applyNumberFormat="1" applyBorder="1" applyAlignment="1">
      <alignment vertical="top" wrapText="1"/>
    </xf>
    <xf numFmtId="0" fontId="2" fillId="3" borderId="4" xfId="0" applyFont="1" applyFill="1" applyBorder="1" applyAlignment="1">
      <alignment vertical="top"/>
    </xf>
    <xf numFmtId="0" fontId="5" fillId="3" borderId="4" xfId="0" applyFont="1" applyFill="1" applyBorder="1" applyAlignment="1">
      <alignment vertical="top"/>
    </xf>
    <xf numFmtId="0" fontId="0" fillId="3" borderId="4" xfId="0" applyFill="1" applyBorder="1" applyAlignment="1">
      <alignment vertical="top"/>
    </xf>
    <xf numFmtId="0" fontId="7" fillId="3" borderId="4" xfId="1" applyNumberFormat="1" applyFont="1" applyFill="1" applyBorder="1" applyAlignment="1">
      <alignment vertical="top"/>
    </xf>
    <xf numFmtId="0" fontId="14" fillId="3" borderId="4" xfId="0" applyFont="1" applyFill="1" applyBorder="1" applyAlignment="1">
      <alignment vertical="top"/>
    </xf>
    <xf numFmtId="0" fontId="9" fillId="3" borderId="4" xfId="0" applyFont="1" applyFill="1" applyBorder="1" applyAlignment="1">
      <alignment vertical="top"/>
    </xf>
    <xf numFmtId="0" fontId="10" fillId="0" borderId="3" xfId="0" applyFont="1" applyBorder="1" applyAlignment="1">
      <alignment vertical="top"/>
    </xf>
    <xf numFmtId="0" fontId="14" fillId="0" borderId="3" xfId="0" applyFont="1" applyBorder="1" applyAlignment="1">
      <alignment vertical="top"/>
    </xf>
    <xf numFmtId="165" fontId="0" fillId="0" borderId="3" xfId="0" applyNumberFormat="1" applyBorder="1" applyAlignment="1">
      <alignment vertical="top"/>
    </xf>
    <xf numFmtId="165" fontId="5" fillId="0" borderId="3" xfId="0" applyNumberFormat="1" applyFont="1" applyBorder="1" applyAlignment="1">
      <alignment vertical="top"/>
    </xf>
    <xf numFmtId="1" fontId="0" fillId="0" borderId="3" xfId="0" applyNumberFormat="1" applyBorder="1" applyAlignment="1">
      <alignment vertical="top"/>
    </xf>
    <xf numFmtId="0" fontId="2" fillId="0" borderId="2" xfId="0" applyFont="1" applyBorder="1" applyAlignment="1">
      <alignment vertical="top"/>
    </xf>
    <xf numFmtId="0" fontId="7" fillId="0" borderId="2" xfId="1" applyNumberFormat="1" applyFont="1" applyFill="1" applyBorder="1" applyAlignment="1">
      <alignment vertical="top"/>
    </xf>
    <xf numFmtId="0" fontId="15" fillId="0" borderId="2" xfId="0" applyFont="1" applyBorder="1" applyAlignment="1">
      <alignment vertical="top"/>
    </xf>
    <xf numFmtId="2" fontId="5" fillId="0" borderId="2" xfId="0" applyNumberFormat="1" applyFont="1" applyBorder="1" applyAlignment="1">
      <alignment vertical="top"/>
    </xf>
    <xf numFmtId="2" fontId="5" fillId="0" borderId="2" xfId="0" applyNumberFormat="1" applyFont="1" applyBorder="1" applyAlignment="1">
      <alignment vertical="top" wrapText="1"/>
    </xf>
    <xf numFmtId="0" fontId="15" fillId="3" borderId="4" xfId="0" applyFont="1" applyFill="1" applyBorder="1" applyAlignment="1">
      <alignment vertical="top"/>
    </xf>
    <xf numFmtId="0" fontId="14" fillId="0" borderId="2" xfId="0" applyFont="1" applyBorder="1" applyAlignment="1">
      <alignment vertical="top"/>
    </xf>
    <xf numFmtId="0" fontId="9" fillId="0" borderId="2" xfId="0" applyFont="1" applyBorder="1" applyAlignment="1">
      <alignment vertical="top"/>
    </xf>
    <xf numFmtId="164" fontId="0" fillId="0" borderId="2" xfId="0" applyNumberFormat="1" applyBorder="1" applyAlignment="1">
      <alignment vertical="top"/>
    </xf>
    <xf numFmtId="165" fontId="0" fillId="0" borderId="2" xfId="0" applyNumberFormat="1" applyBorder="1" applyAlignment="1">
      <alignment vertical="top"/>
    </xf>
    <xf numFmtId="165" fontId="5" fillId="0" borderId="2" xfId="0" applyNumberFormat="1" applyFont="1" applyBorder="1" applyAlignment="1">
      <alignment vertical="top"/>
    </xf>
    <xf numFmtId="1" fontId="0" fillId="0" borderId="2" xfId="0" applyNumberFormat="1" applyBorder="1" applyAlignment="1">
      <alignment vertical="top"/>
    </xf>
    <xf numFmtId="166" fontId="0" fillId="0" borderId="2" xfId="0" applyNumberFormat="1" applyBorder="1" applyAlignment="1">
      <alignment vertical="top"/>
    </xf>
    <xf numFmtId="0" fontId="1" fillId="0" borderId="3" xfId="1" applyNumberFormat="1" applyFill="1" applyBorder="1" applyAlignment="1">
      <alignment vertical="top"/>
    </xf>
    <xf numFmtId="0" fontId="9" fillId="0" borderId="3" xfId="0" applyFont="1" applyBorder="1" applyAlignment="1">
      <alignment vertical="top"/>
    </xf>
    <xf numFmtId="164" fontId="5" fillId="0" borderId="3" xfId="0" applyNumberFormat="1" applyFont="1" applyBorder="1" applyAlignment="1">
      <alignment vertical="top"/>
    </xf>
    <xf numFmtId="10" fontId="0" fillId="0" borderId="3" xfId="0" applyNumberFormat="1" applyBorder="1" applyAlignment="1">
      <alignment vertical="top"/>
    </xf>
    <xf numFmtId="165" fontId="5" fillId="0" borderId="3" xfId="0" applyNumberFormat="1" applyFont="1" applyBorder="1" applyAlignment="1">
      <alignment vertical="top" wrapText="1"/>
    </xf>
    <xf numFmtId="0" fontId="1" fillId="0" borderId="2" xfId="1" applyNumberFormat="1" applyFill="1" applyBorder="1" applyAlignment="1">
      <alignment vertical="top"/>
    </xf>
    <xf numFmtId="164" fontId="5" fillId="0" borderId="2" xfId="0" applyNumberFormat="1" applyFont="1" applyBorder="1" applyAlignment="1">
      <alignment vertical="top"/>
    </xf>
    <xf numFmtId="10" fontId="0" fillId="0" borderId="2" xfId="0" applyNumberFormat="1" applyBorder="1" applyAlignment="1">
      <alignment vertical="top"/>
    </xf>
    <xf numFmtId="0" fontId="1" fillId="3" borderId="4" xfId="1" applyNumberFormat="1" applyFill="1" applyBorder="1" applyAlignment="1">
      <alignment vertical="top"/>
    </xf>
    <xf numFmtId="10" fontId="0" fillId="3" borderId="4" xfId="0" applyNumberFormat="1" applyFill="1" applyBorder="1" applyAlignment="1">
      <alignment vertical="top"/>
    </xf>
    <xf numFmtId="0" fontId="2" fillId="0" borderId="5" xfId="0" applyFont="1" applyBorder="1" applyAlignment="1">
      <alignment vertical="top"/>
    </xf>
    <xf numFmtId="0" fontId="5" fillId="0" borderId="5" xfId="0" applyFont="1" applyBorder="1" applyAlignment="1">
      <alignment vertical="top"/>
    </xf>
    <xf numFmtId="0" fontId="0" fillId="0" borderId="5" xfId="0" applyBorder="1" applyAlignment="1">
      <alignment vertical="top"/>
    </xf>
    <xf numFmtId="0" fontId="1" fillId="0" borderId="5" xfId="1" applyNumberFormat="1" applyFill="1" applyBorder="1" applyAlignment="1">
      <alignment vertical="top"/>
    </xf>
    <xf numFmtId="0" fontId="15" fillId="0" borderId="5" xfId="0" applyFont="1" applyBorder="1" applyAlignment="1">
      <alignment vertical="top"/>
    </xf>
    <xf numFmtId="2" fontId="0" fillId="0" borderId="5" xfId="0" applyNumberFormat="1" applyBorder="1" applyAlignment="1">
      <alignment vertical="top"/>
    </xf>
    <xf numFmtId="0" fontId="5" fillId="0" borderId="5" xfId="0" applyFont="1" applyBorder="1" applyAlignment="1">
      <alignment vertical="top" wrapText="1"/>
    </xf>
    <xf numFmtId="165" fontId="5" fillId="0" borderId="5" xfId="0" applyNumberFormat="1" applyFont="1" applyBorder="1" applyAlignment="1">
      <alignment vertical="top" wrapText="1"/>
    </xf>
    <xf numFmtId="1" fontId="0" fillId="0" borderId="5" xfId="0" applyNumberFormat="1" applyBorder="1" applyAlignment="1">
      <alignment vertical="top" wrapText="1"/>
    </xf>
    <xf numFmtId="165" fontId="0" fillId="0" borderId="5" xfId="0" applyNumberFormat="1" applyBorder="1" applyAlignment="1">
      <alignment vertical="top" wrapText="1"/>
    </xf>
    <xf numFmtId="165" fontId="0" fillId="0" borderId="5" xfId="0" applyNumberFormat="1" applyBorder="1" applyAlignment="1">
      <alignment vertical="top"/>
    </xf>
    <xf numFmtId="0" fontId="0" fillId="0" borderId="5" xfId="0" applyBorder="1" applyAlignment="1">
      <alignment vertical="top" wrapText="1"/>
    </xf>
    <xf numFmtId="164" fontId="0" fillId="0" borderId="3" xfId="0" applyNumberFormat="1" applyBorder="1" applyAlignment="1">
      <alignment vertical="top"/>
    </xf>
    <xf numFmtId="164" fontId="0" fillId="0" borderId="5" xfId="0" applyNumberFormat="1" applyBorder="1" applyAlignment="1">
      <alignment vertical="top"/>
    </xf>
    <xf numFmtId="1" fontId="0" fillId="0" borderId="5" xfId="0" applyNumberFormat="1" applyBorder="1" applyAlignment="1">
      <alignment vertical="top"/>
    </xf>
    <xf numFmtId="0" fontId="14" fillId="0" borderId="5" xfId="0" applyFont="1" applyBorder="1" applyAlignment="1">
      <alignment vertical="top"/>
    </xf>
    <xf numFmtId="2" fontId="5" fillId="0" borderId="5" xfId="0" applyNumberFormat="1" applyFont="1" applyBorder="1" applyAlignment="1">
      <alignment vertical="top"/>
    </xf>
    <xf numFmtId="2" fontId="5" fillId="0" borderId="5" xfId="0" applyNumberFormat="1" applyFont="1" applyBorder="1" applyAlignment="1">
      <alignment vertical="top" wrapText="1"/>
    </xf>
    <xf numFmtId="1" fontId="5" fillId="0" borderId="3" xfId="0" applyNumberFormat="1" applyFont="1" applyBorder="1" applyAlignment="1">
      <alignment vertical="top"/>
    </xf>
    <xf numFmtId="0" fontId="6" fillId="3" borderId="4" xfId="0" applyFont="1" applyFill="1" applyBorder="1" applyAlignment="1">
      <alignment vertical="top"/>
    </xf>
    <xf numFmtId="1" fontId="5" fillId="0" borderId="2" xfId="0" applyNumberFormat="1" applyFont="1" applyBorder="1" applyAlignment="1">
      <alignment vertical="top"/>
    </xf>
    <xf numFmtId="2" fontId="9" fillId="0" borderId="3" xfId="0" applyNumberFormat="1" applyFont="1" applyBorder="1" applyAlignment="1">
      <alignment vertical="top"/>
    </xf>
    <xf numFmtId="0" fontId="11" fillId="0" borderId="3" xfId="0" applyFont="1" applyBorder="1" applyAlignment="1">
      <alignment vertical="top"/>
    </xf>
    <xf numFmtId="2" fontId="9" fillId="0" borderId="2" xfId="0" applyNumberFormat="1" applyFont="1" applyBorder="1" applyAlignment="1">
      <alignment vertical="top"/>
    </xf>
    <xf numFmtId="0" fontId="11" fillId="0" borderId="2" xfId="0" applyFont="1" applyBorder="1" applyAlignment="1">
      <alignment vertical="top"/>
    </xf>
    <xf numFmtId="0" fontId="8" fillId="0" borderId="3" xfId="0" applyFont="1" applyBorder="1" applyAlignment="1">
      <alignment vertical="top"/>
    </xf>
    <xf numFmtId="0" fontId="8" fillId="0" borderId="2" xfId="0" applyFont="1" applyBorder="1" applyAlignment="1">
      <alignment vertical="top"/>
    </xf>
    <xf numFmtId="165" fontId="9" fillId="0" borderId="2" xfId="0" applyNumberFormat="1" applyFont="1" applyBorder="1" applyAlignment="1">
      <alignment vertical="top"/>
    </xf>
    <xf numFmtId="0" fontId="1" fillId="0" borderId="3" xfId="1" applyNumberFormat="1" applyFill="1" applyBorder="1" applyAlignment="1">
      <alignment vertical="top" wrapText="1"/>
    </xf>
    <xf numFmtId="0" fontId="1" fillId="0" borderId="2" xfId="1" applyNumberFormat="1" applyFill="1" applyBorder="1" applyAlignment="1">
      <alignment vertical="top" wrapText="1"/>
    </xf>
    <xf numFmtId="165" fontId="5" fillId="0" borderId="5" xfId="0" applyNumberFormat="1" applyFont="1" applyBorder="1" applyAlignment="1">
      <alignment vertical="top"/>
    </xf>
    <xf numFmtId="2" fontId="0" fillId="0" borderId="5" xfId="0" applyNumberFormat="1" applyBorder="1" applyAlignment="1">
      <alignment vertical="top" wrapText="1"/>
    </xf>
    <xf numFmtId="0" fontId="2" fillId="0" borderId="3" xfId="0" applyFont="1" applyBorder="1" applyAlignment="1">
      <alignment vertical="top" wrapText="1"/>
    </xf>
    <xf numFmtId="0" fontId="6" fillId="0" borderId="3" xfId="0" applyFont="1" applyBorder="1" applyAlignment="1">
      <alignment vertical="top" wrapText="1"/>
    </xf>
    <xf numFmtId="0" fontId="14" fillId="0" borderId="3" xfId="0" applyFont="1" applyBorder="1" applyAlignment="1">
      <alignment vertical="top" wrapText="1"/>
    </xf>
    <xf numFmtId="0" fontId="0" fillId="3" borderId="4" xfId="0" applyFill="1" applyBorder="1" applyAlignment="1">
      <alignment vertical="top" wrapText="1"/>
    </xf>
    <xf numFmtId="0" fontId="0" fillId="3" borderId="6" xfId="0" applyFill="1" applyBorder="1" applyAlignment="1">
      <alignment vertical="top" wrapText="1"/>
    </xf>
    <xf numFmtId="0" fontId="0" fillId="3" borderId="7" xfId="0" applyFill="1" applyBorder="1" applyAlignment="1">
      <alignment vertical="top" wrapText="1"/>
    </xf>
    <xf numFmtId="0" fontId="0" fillId="0" borderId="2" xfId="0" applyFill="1" applyBorder="1" applyAlignment="1">
      <alignment vertical="top"/>
    </xf>
    <xf numFmtId="0" fontId="0" fillId="0" borderId="2" xfId="0" applyFill="1" applyBorder="1" applyAlignment="1">
      <alignment vertical="top" wrapText="1"/>
    </xf>
    <xf numFmtId="0" fontId="5" fillId="0" borderId="3" xfId="0" applyFont="1" applyFill="1" applyBorder="1" applyAlignment="1">
      <alignment vertical="top"/>
    </xf>
    <xf numFmtId="0" fontId="0" fillId="0" borderId="3" xfId="0" applyFill="1" applyBorder="1" applyAlignment="1">
      <alignment vertical="top"/>
    </xf>
    <xf numFmtId="0" fontId="0" fillId="0" borderId="3" xfId="0" applyFill="1" applyBorder="1" applyAlignment="1">
      <alignment vertical="top" wrapText="1"/>
    </xf>
    <xf numFmtId="0" fontId="5" fillId="0" borderId="3" xfId="0" applyFont="1" applyFill="1" applyBorder="1" applyAlignment="1">
      <alignment vertical="top" wrapText="1"/>
    </xf>
    <xf numFmtId="2" fontId="0" fillId="0" borderId="3" xfId="0" applyNumberFormat="1" applyFill="1" applyBorder="1" applyAlignment="1">
      <alignment vertical="top"/>
    </xf>
    <xf numFmtId="164" fontId="0" fillId="0" borderId="2" xfId="0" applyNumberFormat="1" applyFill="1" applyBorder="1" applyAlignment="1">
      <alignment vertical="top"/>
    </xf>
    <xf numFmtId="164" fontId="0" fillId="0" borderId="3" xfId="0" applyNumberFormat="1" applyFill="1" applyBorder="1" applyAlignment="1">
      <alignment vertical="top"/>
    </xf>
    <xf numFmtId="2" fontId="0" fillId="0" borderId="2" xfId="0" applyNumberFormat="1" applyFill="1" applyBorder="1" applyAlignment="1">
      <alignment vertical="top"/>
    </xf>
  </cellXfs>
  <cellStyles count="2">
    <cellStyle name="Hyperlink" xfId="1" builtinId="8"/>
    <cellStyle name="Normal" xfId="0" builtinId="0"/>
  </cellStyles>
  <dxfs count="0"/>
  <tableStyles count="0" defaultTableStyle="TableStyleMedium2" defaultPivotStyle="PivotStyleLight16"/>
  <colors>
    <mruColors>
      <color rgb="FF56EEF8"/>
      <color rgb="FFFF00E9"/>
      <color rgb="FFFFDD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mailto:pfund.zoltan@pte.hu" TargetMode="External"/><Relationship Id="rId21" Type="http://schemas.openxmlformats.org/officeDocument/2006/relationships/hyperlink" Target="mailto:richard.imrich@savba.sk" TargetMode="External"/><Relationship Id="rId42" Type="http://schemas.openxmlformats.org/officeDocument/2006/relationships/hyperlink" Target="mailto:feigao@email.sdu.edu.cn" TargetMode="External"/><Relationship Id="rId47" Type="http://schemas.openxmlformats.org/officeDocument/2006/relationships/hyperlink" Target="mailto:MuhlertN@cardiff.ac.uk" TargetMode="External"/><Relationship Id="rId63" Type="http://schemas.openxmlformats.org/officeDocument/2006/relationships/hyperlink" Target="mailto:Jeannette.LechnerScott@health.nsw.gov.au" TargetMode="External"/><Relationship Id="rId68" Type="http://schemas.openxmlformats.org/officeDocument/2006/relationships/hyperlink" Target="mailto:rsriniva@mrsc.ucsf.edu" TargetMode="External"/><Relationship Id="rId84" Type="http://schemas.openxmlformats.org/officeDocument/2006/relationships/hyperlink" Target="mailto:anders.tisell@liu.se" TargetMode="External"/><Relationship Id="rId89" Type="http://schemas.openxmlformats.org/officeDocument/2006/relationships/hyperlink" Target="mailto:H.Vrenken@vumc.nl" TargetMode="External"/><Relationship Id="rId16" Type="http://schemas.openxmlformats.org/officeDocument/2006/relationships/hyperlink" Target="mailto:wgb7932596@hotmail.com" TargetMode="External"/><Relationship Id="rId107" Type="http://schemas.openxmlformats.org/officeDocument/2006/relationships/hyperlink" Target="mailto:H.Vrenken@vumc.nl" TargetMode="External"/><Relationship Id="rId11" Type="http://schemas.openxmlformats.org/officeDocument/2006/relationships/hyperlink" Target="mailto:n.cawley@ucl.ac.uk" TargetMode="External"/><Relationship Id="rId32" Type="http://schemas.openxmlformats.org/officeDocument/2006/relationships/hyperlink" Target="mailto:petra.hnilicova@uniba.sk" TargetMode="External"/><Relationship Id="rId37" Type="http://schemas.openxmlformats.org/officeDocument/2006/relationships/hyperlink" Target="mailto:feigao@email.sdu.edu.cn" TargetMode="External"/><Relationship Id="rId53" Type="http://schemas.openxmlformats.org/officeDocument/2006/relationships/hyperlink" Target="mailto:k.hein@uni-goettingen.de" TargetMode="External"/><Relationship Id="rId58" Type="http://schemas.openxmlformats.org/officeDocument/2006/relationships/hyperlink" Target="mailto:kantorova@jfmed.uniba.sk" TargetMode="External"/><Relationship Id="rId74" Type="http://schemas.openxmlformats.org/officeDocument/2006/relationships/hyperlink" Target="mailto:k.swanberg@columbia.edu" TargetMode="External"/><Relationship Id="rId79" Type="http://schemas.openxmlformats.org/officeDocument/2006/relationships/hyperlink" Target="mailto:anders.tisell@liu.se" TargetMode="External"/><Relationship Id="rId102" Type="http://schemas.openxmlformats.org/officeDocument/2006/relationships/hyperlink" Target="mailto:k.swanberg@columbia.edu" TargetMode="External"/><Relationship Id="rId5" Type="http://schemas.openxmlformats.org/officeDocument/2006/relationships/hyperlink" Target="mailto:saadallah.ramadan@newcastle.edu.au" TargetMode="External"/><Relationship Id="rId90" Type="http://schemas.openxmlformats.org/officeDocument/2006/relationships/hyperlink" Target="mailto:H.Vrenken@vumc.nl" TargetMode="External"/><Relationship Id="rId95" Type="http://schemas.openxmlformats.org/officeDocument/2006/relationships/hyperlink" Target="mailto:feigao@email.sdu.edu.cn" TargetMode="External"/><Relationship Id="rId22" Type="http://schemas.openxmlformats.org/officeDocument/2006/relationships/hyperlink" Target="mailto:richard.imrich@savba.sk" TargetMode="External"/><Relationship Id="rId27" Type="http://schemas.openxmlformats.org/officeDocument/2006/relationships/hyperlink" Target="mailto:cwj2112@columbia.edu" TargetMode="External"/><Relationship Id="rId43" Type="http://schemas.openxmlformats.org/officeDocument/2006/relationships/hyperlink" Target="mailto:hartwig.roman.siebner@regionh.dk" TargetMode="External"/><Relationship Id="rId48" Type="http://schemas.openxmlformats.org/officeDocument/2006/relationships/hyperlink" Target="mailto:julia.nantes@mail.mcgill.ca" TargetMode="External"/><Relationship Id="rId64" Type="http://schemas.openxmlformats.org/officeDocument/2006/relationships/hyperlink" Target="mailto:jsastre-garriga@cem-cat.org" TargetMode="External"/><Relationship Id="rId69" Type="http://schemas.openxmlformats.org/officeDocument/2006/relationships/hyperlink" Target="mailto:rsriniva@mrsc.ucsf.edu" TargetMode="External"/><Relationship Id="rId80" Type="http://schemas.openxmlformats.org/officeDocument/2006/relationships/hyperlink" Target="mailto:anders.tisell@liu.se" TargetMode="External"/><Relationship Id="rId85" Type="http://schemas.openxmlformats.org/officeDocument/2006/relationships/hyperlink" Target="mailto:anders.tisell@liu.se" TargetMode="External"/><Relationship Id="rId12" Type="http://schemas.openxmlformats.org/officeDocument/2006/relationships/hyperlink" Target="mailto:d.miller@ion.ucl.ac.uk" TargetMode="External"/><Relationship Id="rId17" Type="http://schemas.openxmlformats.org/officeDocument/2006/relationships/hyperlink" Target="mailto:m.huiskamp@amsterdamumc.nl" TargetMode="External"/><Relationship Id="rId33" Type="http://schemas.openxmlformats.org/officeDocument/2006/relationships/hyperlink" Target="mailto:petra.hnilicova@uniba.sk" TargetMode="External"/><Relationship Id="rId38" Type="http://schemas.openxmlformats.org/officeDocument/2006/relationships/hyperlink" Target="mailto:feigao@email.sdu.edu.cn" TargetMode="External"/><Relationship Id="rId59" Type="http://schemas.openxmlformats.org/officeDocument/2006/relationships/hyperlink" Target="mailto:kantorova@jfmed.uniba.sk" TargetMode="External"/><Relationship Id="rId103" Type="http://schemas.openxmlformats.org/officeDocument/2006/relationships/hyperlink" Target="mailto:k.swanberg@columbia.edu" TargetMode="External"/><Relationship Id="rId20" Type="http://schemas.openxmlformats.org/officeDocument/2006/relationships/hyperlink" Target="mailto:m.huiskamp@amsterdamumc.nl" TargetMode="External"/><Relationship Id="rId41" Type="http://schemas.openxmlformats.org/officeDocument/2006/relationships/hyperlink" Target="mailto:feigao@email.sdu.edu.cn" TargetMode="External"/><Relationship Id="rId54" Type="http://schemas.openxmlformats.org/officeDocument/2006/relationships/hyperlink" Target="mailto:k.hein@uni-goettingen.de" TargetMode="External"/><Relationship Id="rId62" Type="http://schemas.openxmlformats.org/officeDocument/2006/relationships/hyperlink" Target="mailto:Jeannette.LechnerScott@health.nsw.gov.au" TargetMode="External"/><Relationship Id="rId70" Type="http://schemas.openxmlformats.org/officeDocument/2006/relationships/hyperlink" Target="mailto:rsriniva@mrsc.ucsf.edu" TargetMode="External"/><Relationship Id="rId75" Type="http://schemas.openxmlformats.org/officeDocument/2006/relationships/hyperlink" Target="mailto:k.swanberg@columbia.edu" TargetMode="External"/><Relationship Id="rId83" Type="http://schemas.openxmlformats.org/officeDocument/2006/relationships/hyperlink" Target="mailto:anders.tisell@liu.se" TargetMode="External"/><Relationship Id="rId88" Type="http://schemas.openxmlformats.org/officeDocument/2006/relationships/hyperlink" Target="mailto:H.Vrenken@vumc.nl" TargetMode="External"/><Relationship Id="rId91" Type="http://schemas.openxmlformats.org/officeDocument/2006/relationships/hyperlink" Target="mailto:H.Vrenken@vumc.nl" TargetMode="External"/><Relationship Id="rId96" Type="http://schemas.openxmlformats.org/officeDocument/2006/relationships/hyperlink" Target="mailto:feigao@email.sdu.edu.cn" TargetMode="External"/><Relationship Id="rId1" Type="http://schemas.openxmlformats.org/officeDocument/2006/relationships/hyperlink" Target="mailto:saadallah.ramadan@newcastle.edu.au" TargetMode="External"/><Relationship Id="rId6" Type="http://schemas.openxmlformats.org/officeDocument/2006/relationships/hyperlink" Target="mailto:saadallah.ramadan@newcastle.edu.au" TargetMode="External"/><Relationship Id="rId15" Type="http://schemas.openxmlformats.org/officeDocument/2006/relationships/hyperlink" Target="mailto:k.fernando@ion.ucl.ac.uk" TargetMode="External"/><Relationship Id="rId23" Type="http://schemas.openxmlformats.org/officeDocument/2006/relationships/hyperlink" Target="mailto:richard.imrich@savba.sk" TargetMode="External"/><Relationship Id="rId28" Type="http://schemas.openxmlformats.org/officeDocument/2006/relationships/hyperlink" Target="mailto:cwj2112@columbia.edu" TargetMode="External"/><Relationship Id="rId36" Type="http://schemas.openxmlformats.org/officeDocument/2006/relationships/hyperlink" Target="mailto:kantorova@jfmed.uniba.sk" TargetMode="External"/><Relationship Id="rId49" Type="http://schemas.openxmlformats.org/officeDocument/2006/relationships/hyperlink" Target="mailto:julia.nantes@mail.mcgill.ca" TargetMode="External"/><Relationship Id="rId57" Type="http://schemas.openxmlformats.org/officeDocument/2006/relationships/hyperlink" Target="mailto:k.hein@uni-goettingen.de" TargetMode="External"/><Relationship Id="rId106" Type="http://schemas.openxmlformats.org/officeDocument/2006/relationships/hyperlink" Target="mailto:H.Vrenken@vumc.nl" TargetMode="External"/><Relationship Id="rId10" Type="http://schemas.openxmlformats.org/officeDocument/2006/relationships/hyperlink" Target="mailto:n.cawley@ucl.ac.uk" TargetMode="External"/><Relationship Id="rId31" Type="http://schemas.openxmlformats.org/officeDocument/2006/relationships/hyperlink" Target="mailto:petra.hnilicova@uniba.sk" TargetMode="External"/><Relationship Id="rId44" Type="http://schemas.openxmlformats.org/officeDocument/2006/relationships/hyperlink" Target="mailto:hartwig.roman.siebner@regionh.dk" TargetMode="External"/><Relationship Id="rId52" Type="http://schemas.openxmlformats.org/officeDocument/2006/relationships/hyperlink" Target="mailto:k.hein@uni-goettingen.de" TargetMode="External"/><Relationship Id="rId60" Type="http://schemas.openxmlformats.org/officeDocument/2006/relationships/hyperlink" Target="mailto:Jeannette.LechnerScott@health.nsw.gov.au" TargetMode="External"/><Relationship Id="rId65" Type="http://schemas.openxmlformats.org/officeDocument/2006/relationships/hyperlink" Target="mailto:jsastre-garriga@cem-cat.org" TargetMode="External"/><Relationship Id="rId73" Type="http://schemas.openxmlformats.org/officeDocument/2006/relationships/hyperlink" Target="mailto:rsriniva@mrsc.ucsf.edu" TargetMode="External"/><Relationship Id="rId78" Type="http://schemas.openxmlformats.org/officeDocument/2006/relationships/hyperlink" Target="mailto:k.swanberg@columbia.edu" TargetMode="External"/><Relationship Id="rId81" Type="http://schemas.openxmlformats.org/officeDocument/2006/relationships/hyperlink" Target="mailto:anders.tisell@liu.se" TargetMode="External"/><Relationship Id="rId86" Type="http://schemas.openxmlformats.org/officeDocument/2006/relationships/hyperlink" Target="mailto:anders.tisell@liu.se" TargetMode="External"/><Relationship Id="rId94" Type="http://schemas.openxmlformats.org/officeDocument/2006/relationships/hyperlink" Target="mailto:feigao@email.sdu.edu.cn" TargetMode="External"/><Relationship Id="rId99" Type="http://schemas.openxmlformats.org/officeDocument/2006/relationships/hyperlink" Target="mailto:kara.firat@mayo.edu" TargetMode="External"/><Relationship Id="rId101" Type="http://schemas.openxmlformats.org/officeDocument/2006/relationships/hyperlink" Target="mailto:k.swanberg@columbia.edu" TargetMode="External"/><Relationship Id="rId4" Type="http://schemas.openxmlformats.org/officeDocument/2006/relationships/hyperlink" Target="mailto:saadallah.ramadan@newcastle.edu.au" TargetMode="External"/><Relationship Id="rId9" Type="http://schemas.openxmlformats.org/officeDocument/2006/relationships/hyperlink" Target="mailto:daniel.pelletier@yale.edu" TargetMode="External"/><Relationship Id="rId13" Type="http://schemas.openxmlformats.org/officeDocument/2006/relationships/hyperlink" Target="mailto:d.miller@ion.ucl.ac.uk" TargetMode="External"/><Relationship Id="rId18" Type="http://schemas.openxmlformats.org/officeDocument/2006/relationships/hyperlink" Target="mailto:m.huiskamp@amsterdamumc.nl" TargetMode="External"/><Relationship Id="rId39" Type="http://schemas.openxmlformats.org/officeDocument/2006/relationships/hyperlink" Target="mailto:feigao@email.sdu.edu.cn" TargetMode="External"/><Relationship Id="rId34" Type="http://schemas.openxmlformats.org/officeDocument/2006/relationships/hyperlink" Target="mailto:petra.hnilicova@uniba.sk" TargetMode="External"/><Relationship Id="rId50" Type="http://schemas.openxmlformats.org/officeDocument/2006/relationships/hyperlink" Target="mailto:k.hein@uni-goettingen.de" TargetMode="External"/><Relationship Id="rId55" Type="http://schemas.openxmlformats.org/officeDocument/2006/relationships/hyperlink" Target="mailto:k.hein@uni-goettingen.de" TargetMode="External"/><Relationship Id="rId76" Type="http://schemas.openxmlformats.org/officeDocument/2006/relationships/hyperlink" Target="mailto:k.swanberg@columbia.edu" TargetMode="External"/><Relationship Id="rId97" Type="http://schemas.openxmlformats.org/officeDocument/2006/relationships/hyperlink" Target="mailto:zhuwenzhen8612@163.com" TargetMode="External"/><Relationship Id="rId104" Type="http://schemas.openxmlformats.org/officeDocument/2006/relationships/hyperlink" Target="mailto:k.swanberg@columbia.edu" TargetMode="External"/><Relationship Id="rId7" Type="http://schemas.openxmlformats.org/officeDocument/2006/relationships/hyperlink" Target="mailto:saadallah.ramadan@newcastle.edu.au" TargetMode="External"/><Relationship Id="rId71" Type="http://schemas.openxmlformats.org/officeDocument/2006/relationships/hyperlink" Target="mailto:rsriniva@mrsc.ucsf.edu" TargetMode="External"/><Relationship Id="rId92" Type="http://schemas.openxmlformats.org/officeDocument/2006/relationships/hyperlink" Target="mailto:o.wiebenga@vumc.nl" TargetMode="External"/><Relationship Id="rId2" Type="http://schemas.openxmlformats.org/officeDocument/2006/relationships/hyperlink" Target="mailto:saadallah.ramadan@newcastle.edu.au" TargetMode="External"/><Relationship Id="rId29" Type="http://schemas.openxmlformats.org/officeDocument/2006/relationships/hyperlink" Target="mailto:cwj2112@columbia.edu" TargetMode="External"/><Relationship Id="rId24" Type="http://schemas.openxmlformats.org/officeDocument/2006/relationships/hyperlink" Target="mailto:richard.imrich@savba.sk" TargetMode="External"/><Relationship Id="rId40" Type="http://schemas.openxmlformats.org/officeDocument/2006/relationships/hyperlink" Target="mailto:feigao@email.sdu.edu.cn" TargetMode="External"/><Relationship Id="rId45" Type="http://schemas.openxmlformats.org/officeDocument/2006/relationships/hyperlink" Target="mailto:hartwig.roman.siebner@regionh.dk" TargetMode="External"/><Relationship Id="rId66" Type="http://schemas.openxmlformats.org/officeDocument/2006/relationships/hyperlink" Target="mailto:sllufriu@clinic.ub.es" TargetMode="External"/><Relationship Id="rId87" Type="http://schemas.openxmlformats.org/officeDocument/2006/relationships/hyperlink" Target="mailto:H.Vrenken@vumc.nl" TargetMode="External"/><Relationship Id="rId61" Type="http://schemas.openxmlformats.org/officeDocument/2006/relationships/hyperlink" Target="mailto:Jeannette.LechnerScott@health.nsw.gov.au" TargetMode="External"/><Relationship Id="rId82" Type="http://schemas.openxmlformats.org/officeDocument/2006/relationships/hyperlink" Target="mailto:anders.tisell@liu.se" TargetMode="External"/><Relationship Id="rId19" Type="http://schemas.openxmlformats.org/officeDocument/2006/relationships/hyperlink" Target="mailto:m.huiskamp@amsterdamumc.nl" TargetMode="External"/><Relationship Id="rId14" Type="http://schemas.openxmlformats.org/officeDocument/2006/relationships/hyperlink" Target="mailto:sylviane.gouny@univ-amu.fr" TargetMode="External"/><Relationship Id="rId30" Type="http://schemas.openxmlformats.org/officeDocument/2006/relationships/hyperlink" Target="mailto:cwj2112@columbia.edu" TargetMode="External"/><Relationship Id="rId35" Type="http://schemas.openxmlformats.org/officeDocument/2006/relationships/hyperlink" Target="mailto:kantorova@jfmed.uniba.sk" TargetMode="External"/><Relationship Id="rId56" Type="http://schemas.openxmlformats.org/officeDocument/2006/relationships/hyperlink" Target="mailto:k.hein@uni-goettingen.de" TargetMode="External"/><Relationship Id="rId77" Type="http://schemas.openxmlformats.org/officeDocument/2006/relationships/hyperlink" Target="mailto:k.swanberg@columbia.edu" TargetMode="External"/><Relationship Id="rId100" Type="http://schemas.openxmlformats.org/officeDocument/2006/relationships/hyperlink" Target="mailto:MuhlertN@cardiff.ac.uk" TargetMode="External"/><Relationship Id="rId105" Type="http://schemas.openxmlformats.org/officeDocument/2006/relationships/hyperlink" Target="mailto:H.Vrenken@vumc.nl" TargetMode="External"/><Relationship Id="rId8" Type="http://schemas.openxmlformats.org/officeDocument/2006/relationships/hyperlink" Target="mailto:saadallah.ramadan@newcastle.edu.au" TargetMode="External"/><Relationship Id="rId51" Type="http://schemas.openxmlformats.org/officeDocument/2006/relationships/hyperlink" Target="mailto:k.hein@uni-goettingen.de" TargetMode="External"/><Relationship Id="rId72" Type="http://schemas.openxmlformats.org/officeDocument/2006/relationships/hyperlink" Target="mailto:rsriniva@mrsc.ucsf.edu" TargetMode="External"/><Relationship Id="rId93" Type="http://schemas.openxmlformats.org/officeDocument/2006/relationships/hyperlink" Target="mailto:o.wiebenga@vumc.nl" TargetMode="External"/><Relationship Id="rId98" Type="http://schemas.openxmlformats.org/officeDocument/2006/relationships/hyperlink" Target="mailto:kara.firat@mayo.edu" TargetMode="External"/><Relationship Id="rId3" Type="http://schemas.openxmlformats.org/officeDocument/2006/relationships/hyperlink" Target="mailto:saadallah.ramadan@newcastle.edu.au" TargetMode="External"/><Relationship Id="rId25" Type="http://schemas.openxmlformats.org/officeDocument/2006/relationships/hyperlink" Target="mailto:pfund.zoltan@pte.hu" TargetMode="External"/><Relationship Id="rId46" Type="http://schemas.openxmlformats.org/officeDocument/2006/relationships/hyperlink" Target="mailto:hartwig.roman.siebner@regionh.dk" TargetMode="External"/><Relationship Id="rId67" Type="http://schemas.openxmlformats.org/officeDocument/2006/relationships/hyperlink" Target="mailto:sllufriu@clinic.ub.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E0B06-8813-9544-9FCF-882C477B5EB9}">
  <dimension ref="A1:JU189"/>
  <sheetViews>
    <sheetView tabSelected="1" zoomScale="114" workbookViewId="0">
      <pane ySplit="1" topLeftCell="A2" activePane="bottomLeft" state="frozen"/>
      <selection pane="bottomLeft" activeCell="C16" sqref="C16"/>
    </sheetView>
  </sheetViews>
  <sheetFormatPr baseColWidth="10" defaultColWidth="8.33203125" defaultRowHeight="16" x14ac:dyDescent="0.2"/>
  <cols>
    <col min="1" max="1" width="13.1640625" style="18" customWidth="1"/>
    <col min="2" max="2" width="24.83203125" style="6" customWidth="1"/>
    <col min="3" max="3" width="168.33203125" style="6" bestFit="1" customWidth="1"/>
    <col min="4" max="4" width="16.33203125" style="6" bestFit="1" customWidth="1"/>
    <col min="5" max="5" width="10.6640625" style="6" bestFit="1" customWidth="1"/>
    <col min="6" max="6" width="14.83203125" style="8" bestFit="1" customWidth="1"/>
    <col min="7" max="9" width="14.83203125" style="8" customWidth="1"/>
    <col min="10" max="10" width="18.33203125" style="6" bestFit="1" customWidth="1"/>
    <col min="11" max="11" width="17.6640625" style="6" bestFit="1" customWidth="1"/>
    <col min="12" max="12" width="35.83203125" style="51" customWidth="1"/>
    <col min="13" max="13" width="8.33203125" style="6" bestFit="1"/>
    <col min="14" max="14" width="13.33203125" style="6" bestFit="1" customWidth="1"/>
    <col min="15" max="21" width="22.1640625" style="6" customWidth="1"/>
    <col min="22" max="22" width="21.5" style="6" bestFit="1" customWidth="1"/>
    <col min="23" max="23" width="18" style="6" bestFit="1" customWidth="1"/>
    <col min="24" max="24" width="17.5" style="6" bestFit="1" customWidth="1"/>
    <col min="25" max="25" width="23.6640625" style="6" bestFit="1" customWidth="1"/>
    <col min="26" max="26" width="16.6640625" style="6" bestFit="1" customWidth="1"/>
    <col min="27" max="27" width="25" style="6" bestFit="1" customWidth="1"/>
    <col min="28" max="28" width="27.33203125" style="6" bestFit="1" customWidth="1"/>
    <col min="29" max="29" width="38.33203125" style="6" customWidth="1"/>
    <col min="30" max="30" width="27.6640625" style="6" bestFit="1" customWidth="1"/>
    <col min="31" max="31" width="24.33203125" style="6" bestFit="1" customWidth="1"/>
    <col min="32" max="32" width="28" style="6" bestFit="1" customWidth="1"/>
    <col min="33" max="33" width="24" style="6" bestFit="1" customWidth="1"/>
    <col min="34" max="34" width="8.83203125" style="6" bestFit="1" customWidth="1"/>
    <col min="35" max="35" width="12.5" style="6" bestFit="1" customWidth="1"/>
    <col min="36" max="36" width="15.83203125" style="6" bestFit="1" customWidth="1"/>
    <col min="37" max="37" width="20.33203125" style="6" bestFit="1" customWidth="1"/>
    <col min="38" max="38" width="17" style="6" bestFit="1" customWidth="1"/>
    <col min="39" max="39" width="12.6640625" style="6" bestFit="1" customWidth="1"/>
    <col min="40" max="40" width="17" style="6" bestFit="1" customWidth="1"/>
    <col min="41" max="43" width="17" style="6" customWidth="1"/>
    <col min="44" max="44" width="19.1640625" style="6" bestFit="1" customWidth="1"/>
    <col min="45" max="45" width="21.83203125" style="6" customWidth="1"/>
    <col min="46" max="46" width="24.33203125" style="6" customWidth="1"/>
    <col min="47" max="47" width="25.5" style="6" customWidth="1"/>
    <col min="48" max="48" width="22.83203125" style="6" customWidth="1"/>
    <col min="49" max="49" width="17.1640625" style="6" bestFit="1" customWidth="1"/>
    <col min="50" max="50" width="22.1640625" style="6" bestFit="1" customWidth="1"/>
    <col min="51" max="51" width="15.33203125" style="6" bestFit="1" customWidth="1"/>
    <col min="52" max="52" width="17.5" style="6" bestFit="1" customWidth="1"/>
    <col min="53" max="53" width="25.1640625" style="6" bestFit="1" customWidth="1"/>
    <col min="54" max="54" width="14.6640625" style="6" bestFit="1" customWidth="1"/>
    <col min="55" max="55" width="13" style="6" bestFit="1" customWidth="1"/>
    <col min="56" max="56" width="15" style="6" bestFit="1" customWidth="1"/>
    <col min="57" max="57" width="15" style="6" customWidth="1"/>
    <col min="58" max="58" width="15" style="6" bestFit="1" customWidth="1"/>
    <col min="59" max="59" width="17.1640625" style="6" bestFit="1" customWidth="1"/>
    <col min="60" max="60" width="17.1640625" style="6" customWidth="1"/>
    <col min="61" max="61" width="10" style="6" bestFit="1" customWidth="1"/>
    <col min="62" max="62" width="16.1640625" style="6" bestFit="1" customWidth="1"/>
    <col min="63" max="63" width="24" style="6" bestFit="1" customWidth="1"/>
    <col min="64" max="64" width="9.83203125" style="6" bestFit="1" customWidth="1"/>
    <col min="65" max="65" width="23.6640625" style="6" bestFit="1" customWidth="1"/>
    <col min="66" max="66" width="9.83203125" style="6" bestFit="1" customWidth="1"/>
    <col min="67" max="67" width="23.6640625" style="6" bestFit="1" customWidth="1"/>
    <col min="68" max="68" width="28.1640625" style="6" bestFit="1" customWidth="1"/>
    <col min="69" max="69" width="25" style="6" bestFit="1" customWidth="1"/>
    <col min="70" max="70" width="14" style="6" bestFit="1" customWidth="1"/>
    <col min="71" max="71" width="11.33203125" style="6" bestFit="1" customWidth="1"/>
    <col min="72" max="72" width="25.5" style="6" customWidth="1"/>
    <col min="73" max="73" width="22.5" style="6" customWidth="1"/>
    <col min="74" max="75" width="26.33203125" style="6" customWidth="1"/>
    <col min="76" max="76" width="27.33203125" style="6" customWidth="1"/>
    <col min="77" max="77" width="25.6640625" style="6" customWidth="1"/>
    <col min="78" max="78" width="30.83203125" style="6" customWidth="1"/>
    <col min="79" max="79" width="30.5" style="6" customWidth="1"/>
    <col min="80" max="80" width="28.33203125" style="6" customWidth="1"/>
    <col min="81" max="81" width="27.33203125" style="6" customWidth="1"/>
    <col min="82" max="82" width="25.83203125" style="6" customWidth="1"/>
    <col min="83" max="83" width="25.33203125" style="6" customWidth="1"/>
    <col min="84" max="84" width="13.5" style="6" bestFit="1" customWidth="1"/>
    <col min="85" max="85" width="31.5" style="6" bestFit="1" customWidth="1"/>
    <col min="86" max="86" width="32.5" style="6" bestFit="1" customWidth="1"/>
    <col min="87" max="87" width="28.6640625" style="6" bestFit="1" customWidth="1"/>
    <col min="88" max="88" width="19.5" style="6" bestFit="1" customWidth="1"/>
    <col min="89" max="89" width="16.1640625" style="6" bestFit="1" customWidth="1"/>
    <col min="90" max="90" width="18.5" style="6" bestFit="1" customWidth="1"/>
    <col min="91" max="91" width="20.6640625" style="6" bestFit="1" customWidth="1"/>
    <col min="92" max="94" width="43.6640625" style="6" customWidth="1"/>
    <col min="95" max="95" width="36.33203125" style="6" customWidth="1"/>
    <col min="96" max="96" width="18.1640625" style="6" bestFit="1" customWidth="1"/>
    <col min="97" max="97" width="23.1640625" style="6" bestFit="1" customWidth="1"/>
    <col min="98" max="98" width="20.83203125" style="6" bestFit="1" customWidth="1"/>
    <col min="99" max="99" width="17" style="6" bestFit="1" customWidth="1"/>
    <col min="100" max="100" width="14.6640625" style="6" bestFit="1" customWidth="1"/>
    <col min="101" max="101" width="19.1640625" style="6" bestFit="1" customWidth="1"/>
    <col min="102" max="102" width="16.6640625" style="6" bestFit="1" customWidth="1"/>
    <col min="103" max="103" width="20.83203125" style="6" customWidth="1"/>
    <col min="104" max="104" width="23.5" style="6" bestFit="1" customWidth="1"/>
    <col min="105" max="105" width="15" style="6" bestFit="1" customWidth="1"/>
    <col min="106" max="106" width="14.83203125" style="6" bestFit="1" customWidth="1"/>
    <col min="107" max="107" width="17.1640625" style="6" bestFit="1" customWidth="1"/>
    <col min="108" max="108" width="16.83203125" style="6" bestFit="1" customWidth="1"/>
    <col min="109" max="109" width="10" style="6" bestFit="1" customWidth="1"/>
    <col min="110" max="110" width="11.83203125" style="6" bestFit="1" customWidth="1"/>
    <col min="111" max="111" width="22.83203125" style="6" bestFit="1" customWidth="1"/>
    <col min="112" max="112" width="15.6640625" style="6" bestFit="1" customWidth="1"/>
    <col min="113" max="113" width="20" style="6" bestFit="1" customWidth="1"/>
    <col min="114" max="114" width="22" style="6" bestFit="1" customWidth="1"/>
    <col min="115" max="115" width="7.33203125" style="6" bestFit="1" customWidth="1"/>
    <col min="116" max="116" width="15.6640625" style="6" bestFit="1" customWidth="1"/>
    <col min="117" max="117" width="15.5" style="6" bestFit="1" customWidth="1"/>
    <col min="118" max="118" width="15.5" style="6" customWidth="1"/>
    <col min="119" max="119" width="15.6640625" style="6" bestFit="1" customWidth="1"/>
    <col min="120" max="122" width="15.6640625" style="6" customWidth="1"/>
    <col min="123" max="123" width="13.1640625" style="6" bestFit="1" customWidth="1"/>
    <col min="124" max="124" width="10.5" style="6" bestFit="1" customWidth="1"/>
    <col min="125" max="125" width="22.83203125" style="6" bestFit="1" customWidth="1"/>
    <col min="126" max="126" width="20.1640625" style="6" bestFit="1" customWidth="1"/>
    <col min="127" max="127" width="20.6640625" style="6" bestFit="1" customWidth="1"/>
    <col min="128" max="128" width="18" style="6" bestFit="1" customWidth="1"/>
    <col min="129" max="129" width="22.33203125" style="6" bestFit="1" customWidth="1"/>
    <col min="130" max="130" width="19.6640625" style="6" bestFit="1" customWidth="1"/>
    <col min="131" max="131" width="20.1640625" style="6" bestFit="1" customWidth="1"/>
    <col min="132" max="132" width="17.5" style="6" bestFit="1" customWidth="1"/>
    <col min="133" max="133" width="22.33203125" style="6" bestFit="1" customWidth="1"/>
    <col min="134" max="134" width="19.6640625" style="6" bestFit="1" customWidth="1"/>
    <col min="135" max="135" width="20.1640625" style="6" bestFit="1" customWidth="1"/>
    <col min="136" max="136" width="17.5" style="6" bestFit="1" customWidth="1"/>
    <col min="137" max="137" width="22.5" style="6" bestFit="1" customWidth="1"/>
    <col min="138" max="138" width="19.83203125" style="6" bestFit="1" customWidth="1"/>
    <col min="139" max="139" width="20.33203125" style="6" bestFit="1" customWidth="1"/>
    <col min="140" max="140" width="17.6640625" style="6" bestFit="1" customWidth="1"/>
    <col min="141" max="141" width="25.5" style="6" bestFit="1" customWidth="1"/>
    <col min="142" max="142" width="22.83203125" style="6" bestFit="1" customWidth="1"/>
    <col min="143" max="143" width="23.33203125" style="6" bestFit="1" customWidth="1"/>
    <col min="144" max="144" width="20.6640625" style="6" bestFit="1" customWidth="1"/>
    <col min="145" max="145" width="22.5" style="6" bestFit="1" customWidth="1"/>
    <col min="146" max="146" width="19.83203125" style="6" bestFit="1" customWidth="1"/>
    <col min="147" max="147" width="20.5" style="6" bestFit="1" customWidth="1"/>
    <col min="148" max="148" width="17.83203125" style="6" bestFit="1" customWidth="1"/>
    <col min="149" max="149" width="20.5" style="6" bestFit="1" customWidth="1"/>
    <col min="150" max="150" width="17.83203125" style="6" bestFit="1" customWidth="1"/>
    <col min="151" max="151" width="18.33203125" style="6" bestFit="1" customWidth="1"/>
    <col min="152" max="152" width="15.6640625" style="6" bestFit="1" customWidth="1"/>
    <col min="153" max="153" width="18.83203125" style="6" bestFit="1" customWidth="1"/>
    <col min="154" max="154" width="16" style="6" bestFit="1" customWidth="1"/>
    <col min="155" max="155" width="16.6640625" style="6" bestFit="1" customWidth="1"/>
    <col min="156" max="156" width="14" style="6" bestFit="1" customWidth="1"/>
    <col min="157" max="157" width="19.1640625" style="6" bestFit="1" customWidth="1"/>
    <col min="158" max="158" width="16.33203125" style="6" bestFit="1" customWidth="1"/>
    <col min="159" max="159" width="17" style="6" bestFit="1" customWidth="1"/>
    <col min="160" max="160" width="14.33203125" style="6" bestFit="1" customWidth="1"/>
    <col min="161" max="161" width="20" style="6" bestFit="1" customWidth="1"/>
    <col min="162" max="162" width="17.33203125" style="6" bestFit="1" customWidth="1"/>
    <col min="163" max="163" width="17.83203125" style="6" bestFit="1" customWidth="1"/>
    <col min="164" max="164" width="15.1640625" style="6" bestFit="1" customWidth="1"/>
    <col min="165" max="165" width="21.1640625" style="6" bestFit="1" customWidth="1"/>
    <col min="166" max="166" width="18.5" style="6" bestFit="1" customWidth="1"/>
    <col min="167" max="167" width="19.1640625" style="6" bestFit="1" customWidth="1"/>
    <col min="168" max="168" width="16.33203125" style="6" bestFit="1" customWidth="1"/>
    <col min="169" max="169" width="19.33203125" style="6" bestFit="1" customWidth="1"/>
    <col min="170" max="170" width="16.5" style="6" bestFit="1" customWidth="1"/>
    <col min="171" max="171" width="17.1640625" style="6" bestFit="1" customWidth="1"/>
    <col min="172" max="172" width="14.5" style="6" bestFit="1" customWidth="1"/>
    <col min="173" max="173" width="18.83203125" style="6" bestFit="1" customWidth="1"/>
    <col min="174" max="174" width="16" style="6" bestFit="1" customWidth="1"/>
    <col min="175" max="175" width="16.83203125" style="6" bestFit="1" customWidth="1"/>
    <col min="176" max="176" width="14.5" style="6" customWidth="1"/>
    <col min="177" max="177" width="20.6640625" style="6" bestFit="1" customWidth="1"/>
    <col min="178" max="178" width="18" style="6" bestFit="1" customWidth="1"/>
    <col min="179" max="179" width="18.6640625" style="6" bestFit="1" customWidth="1"/>
    <col min="180" max="180" width="15.83203125" style="6" bestFit="1" customWidth="1"/>
    <col min="181" max="181" width="20.1640625" style="6" bestFit="1" customWidth="1"/>
    <col min="182" max="182" width="17.6640625" style="6" bestFit="1" customWidth="1"/>
    <col min="183" max="183" width="18" style="6" bestFit="1" customWidth="1"/>
    <col min="184" max="184" width="15.33203125" style="6" bestFit="1" customWidth="1"/>
    <col min="185" max="185" width="19.6640625" style="6" bestFit="1" customWidth="1"/>
    <col min="186" max="186" width="16.83203125" style="6" bestFit="1" customWidth="1"/>
    <col min="187" max="187" width="17.5" style="6" bestFit="1" customWidth="1"/>
    <col min="188" max="188" width="14.83203125" style="6" bestFit="1" customWidth="1"/>
    <col min="189" max="189" width="22" style="6" bestFit="1" customWidth="1"/>
    <col min="190" max="190" width="19.33203125" style="6" bestFit="1" customWidth="1"/>
    <col min="191" max="191" width="19.83203125" style="6" bestFit="1" customWidth="1"/>
    <col min="192" max="192" width="17.1640625" style="6" bestFit="1" customWidth="1"/>
    <col min="193" max="193" width="20" style="6" bestFit="1" customWidth="1"/>
    <col min="194" max="194" width="17.1640625" style="6" bestFit="1" customWidth="1"/>
    <col min="195" max="195" width="17.83203125" style="6" bestFit="1" customWidth="1"/>
    <col min="196" max="196" width="15.1640625" style="6" bestFit="1" customWidth="1"/>
    <col min="197" max="197" width="21.33203125" style="6" bestFit="1" customWidth="1"/>
    <col min="198" max="198" width="18.5" style="6" bestFit="1" customWidth="1"/>
    <col min="199" max="199" width="19.33203125" style="6" bestFit="1" customWidth="1"/>
    <col min="200" max="200" width="16.5" style="6" bestFit="1" customWidth="1"/>
    <col min="201" max="201" width="24.6640625" style="6" bestFit="1" customWidth="1"/>
    <col min="202" max="202" width="21.83203125" style="6" bestFit="1" customWidth="1"/>
    <col min="203" max="203" width="22.5" style="6" bestFit="1" customWidth="1"/>
    <col min="204" max="204" width="19.83203125" style="6" bestFit="1" customWidth="1"/>
    <col min="205" max="205" width="20" style="6" bestFit="1" customWidth="1"/>
    <col min="206" max="206" width="17.33203125" style="6" bestFit="1" customWidth="1"/>
    <col min="207" max="207" width="17.83203125" style="6" bestFit="1" customWidth="1"/>
    <col min="208" max="208" width="15.1640625" style="6" bestFit="1" customWidth="1"/>
    <col min="209" max="209" width="20.5" style="6" bestFit="1" customWidth="1"/>
    <col min="210" max="210" width="17.83203125" style="6" bestFit="1" customWidth="1"/>
    <col min="211" max="211" width="18.33203125" style="6" bestFit="1" customWidth="1"/>
    <col min="212" max="212" width="15.6640625" style="6" bestFit="1" customWidth="1"/>
    <col min="213" max="213" width="26" style="6" bestFit="1" customWidth="1"/>
    <col min="214" max="214" width="23.5" style="6" bestFit="1" customWidth="1"/>
    <col min="215" max="215" width="23.83203125" style="6" bestFit="1" customWidth="1"/>
    <col min="216" max="216" width="21.1640625" style="6" bestFit="1" customWidth="1"/>
    <col min="217" max="217" width="27.1640625" style="6" bestFit="1" customWidth="1"/>
    <col min="218" max="218" width="24.5" style="6" bestFit="1" customWidth="1"/>
    <col min="219" max="219" width="25" style="6" bestFit="1" customWidth="1"/>
    <col min="220" max="220" width="22.5" style="6" bestFit="1" customWidth="1"/>
    <col min="221" max="221" width="27.33203125" style="6" bestFit="1" customWidth="1"/>
    <col min="222" max="222" width="24.6640625" style="6" bestFit="1" customWidth="1"/>
    <col min="223" max="223" width="25.1640625" style="6" bestFit="1" customWidth="1"/>
    <col min="224" max="224" width="22.5" style="6" bestFit="1" customWidth="1"/>
    <col min="225" max="225" width="25.6640625" style="6" bestFit="1" customWidth="1"/>
    <col min="226" max="226" width="23.1640625" style="6" bestFit="1" customWidth="1"/>
    <col min="227" max="227" width="23.5" style="6" bestFit="1" customWidth="1"/>
    <col min="228" max="228" width="20.83203125" style="6" bestFit="1" customWidth="1"/>
    <col min="229" max="229" width="23.1640625" style="6" bestFit="1" customWidth="1"/>
    <col min="230" max="230" width="20.5" style="6" bestFit="1" customWidth="1"/>
    <col min="231" max="231" width="21" style="6" bestFit="1" customWidth="1"/>
    <col min="232" max="232" width="18.5" style="6" bestFit="1" customWidth="1"/>
    <col min="233" max="233" width="24.33203125" style="6" bestFit="1" customWidth="1"/>
    <col min="234" max="234" width="21.6640625" style="6" bestFit="1" customWidth="1"/>
    <col min="235" max="235" width="22.1640625" style="6" bestFit="1" customWidth="1"/>
    <col min="236" max="236" width="19.5" style="6" bestFit="1" customWidth="1"/>
    <col min="237" max="237" width="24.33203125" style="6" bestFit="1" customWidth="1"/>
    <col min="238" max="238" width="21.5" style="6" bestFit="1" customWidth="1"/>
    <col min="239" max="239" width="22.1640625" style="6" bestFit="1" customWidth="1"/>
    <col min="240" max="240" width="19.5" style="6" bestFit="1" customWidth="1"/>
    <col min="241" max="241" width="24.1640625" style="6" bestFit="1" customWidth="1"/>
    <col min="242" max="242" width="21.33203125" style="6" bestFit="1" customWidth="1"/>
    <col min="243" max="243" width="22" style="6" bestFit="1" customWidth="1"/>
    <col min="244" max="244" width="19.33203125" style="6" bestFit="1" customWidth="1"/>
    <col min="245" max="245" width="27.33203125" style="6" bestFit="1" customWidth="1"/>
    <col min="246" max="246" width="24.6640625" style="6" bestFit="1" customWidth="1"/>
    <col min="247" max="247" width="25.33203125" style="6" bestFit="1" customWidth="1"/>
    <col min="248" max="248" width="22.5" style="6" bestFit="1" customWidth="1"/>
    <col min="249" max="249" width="22.6640625" style="6" bestFit="1" customWidth="1"/>
    <col min="250" max="250" width="20" style="6" bestFit="1" customWidth="1"/>
    <col min="251" max="251" width="20.5" style="6" bestFit="1" customWidth="1"/>
    <col min="252" max="252" width="17.83203125" style="6" bestFit="1" customWidth="1"/>
    <col min="253" max="253" width="22.5" style="6" bestFit="1" customWidth="1"/>
    <col min="254" max="254" width="19.83203125" style="6" bestFit="1" customWidth="1"/>
    <col min="255" max="255" width="20.33203125" style="6" bestFit="1" customWidth="1"/>
    <col min="256" max="256" width="17.83203125" style="6" bestFit="1" customWidth="1"/>
    <col min="257" max="257" width="25.5" style="6" bestFit="1" customWidth="1"/>
    <col min="258" max="258" width="23" style="6" bestFit="1" customWidth="1"/>
    <col min="259" max="259" width="23.33203125" style="6" bestFit="1" customWidth="1"/>
    <col min="260" max="260" width="20.6640625" style="6" bestFit="1" customWidth="1"/>
    <col min="261" max="261" width="21" style="6" bestFit="1" customWidth="1"/>
    <col min="262" max="262" width="18.5" style="6" bestFit="1" customWidth="1"/>
    <col min="263" max="263" width="19" style="6" bestFit="1" customWidth="1"/>
    <col min="264" max="264" width="16.1640625" style="6" bestFit="1" customWidth="1"/>
    <col min="265" max="265" width="22" style="6" bestFit="1" customWidth="1"/>
    <col min="266" max="266" width="19.33203125" style="6" bestFit="1" customWidth="1"/>
    <col min="267" max="267" width="19.83203125" style="6" bestFit="1" customWidth="1"/>
    <col min="268" max="268" width="17.1640625" style="6" bestFit="1" customWidth="1"/>
    <col min="269" max="269" width="21.83203125" style="6" bestFit="1" customWidth="1"/>
    <col min="270" max="270" width="19.1640625" style="6" bestFit="1" customWidth="1"/>
    <col min="271" max="271" width="19.83203125" style="6" bestFit="1" customWidth="1"/>
    <col min="272" max="272" width="17.1640625" style="6" bestFit="1" customWidth="1"/>
    <col min="273" max="273" width="25" style="6" bestFit="1" customWidth="1"/>
    <col min="274" max="274" width="22.33203125" style="6" bestFit="1" customWidth="1"/>
    <col min="275" max="275" width="22.83203125" style="6" bestFit="1" customWidth="1"/>
    <col min="276" max="276" width="20.1640625" style="6" bestFit="1" customWidth="1"/>
    <col min="277" max="277" width="20" style="6" bestFit="1" customWidth="1"/>
    <col min="278" max="278" width="17.33203125" style="6" bestFit="1" customWidth="1"/>
    <col min="279" max="279" width="17.83203125" style="6" bestFit="1" customWidth="1"/>
    <col min="280" max="280" width="15.1640625" style="6" bestFit="1" customWidth="1"/>
    <col min="281" max="281" width="19.83203125" style="6" customWidth="1"/>
    <col min="282" max="16384" width="8.33203125" style="6"/>
  </cols>
  <sheetData>
    <row r="1" spans="1:281" s="4" customFormat="1" ht="20.25" customHeight="1" x14ac:dyDescent="0.2">
      <c r="A1" s="2" t="s">
        <v>0</v>
      </c>
      <c r="B1" s="2" t="s">
        <v>1</v>
      </c>
      <c r="C1" s="2" t="s">
        <v>2</v>
      </c>
      <c r="D1" s="2" t="s">
        <v>3</v>
      </c>
      <c r="E1" s="2" t="s">
        <v>4</v>
      </c>
      <c r="F1" s="15" t="s">
        <v>570</v>
      </c>
      <c r="G1" s="15" t="s">
        <v>837</v>
      </c>
      <c r="H1" s="15" t="s">
        <v>838</v>
      </c>
      <c r="I1" s="15" t="s">
        <v>839</v>
      </c>
      <c r="J1" s="2" t="s">
        <v>5</v>
      </c>
      <c r="K1" s="2" t="s">
        <v>6</v>
      </c>
      <c r="L1" s="3" t="s">
        <v>7</v>
      </c>
      <c r="M1" s="2" t="s">
        <v>8</v>
      </c>
      <c r="N1" s="2" t="s">
        <v>9</v>
      </c>
      <c r="O1" s="2" t="s">
        <v>10</v>
      </c>
      <c r="P1" s="2" t="s">
        <v>815</v>
      </c>
      <c r="Q1" s="2" t="s">
        <v>1006</v>
      </c>
      <c r="R1" s="2" t="s">
        <v>1007</v>
      </c>
      <c r="S1" s="2" t="s">
        <v>836</v>
      </c>
      <c r="T1" s="2" t="s">
        <v>358</v>
      </c>
      <c r="U1" s="2" t="s">
        <v>298</v>
      </c>
      <c r="V1" s="2" t="s">
        <v>11</v>
      </c>
      <c r="W1" s="2" t="s">
        <v>12</v>
      </c>
      <c r="X1" s="2" t="s">
        <v>13</v>
      </c>
      <c r="Y1" s="2" t="s">
        <v>826</v>
      </c>
      <c r="Z1" s="2" t="s">
        <v>14</v>
      </c>
      <c r="AA1" s="2" t="s">
        <v>15</v>
      </c>
      <c r="AB1" s="2" t="s">
        <v>16</v>
      </c>
      <c r="AC1" s="2" t="s">
        <v>17</v>
      </c>
      <c r="AD1" s="2" t="s">
        <v>18</v>
      </c>
      <c r="AE1" s="2" t="s">
        <v>19</v>
      </c>
      <c r="AF1" s="2" t="s">
        <v>20</v>
      </c>
      <c r="AG1" s="2" t="s">
        <v>21</v>
      </c>
      <c r="AH1" s="2" t="s">
        <v>22</v>
      </c>
      <c r="AI1" s="2" t="s">
        <v>23</v>
      </c>
      <c r="AJ1" s="2" t="s">
        <v>24</v>
      </c>
      <c r="AK1" s="2" t="s">
        <v>25</v>
      </c>
      <c r="AL1" s="2" t="s">
        <v>26</v>
      </c>
      <c r="AM1" s="2" t="s">
        <v>27</v>
      </c>
      <c r="AN1" s="2" t="s">
        <v>28</v>
      </c>
      <c r="AO1" s="2" t="s">
        <v>891</v>
      </c>
      <c r="AP1" s="2" t="s">
        <v>892</v>
      </c>
      <c r="AQ1" s="2" t="s">
        <v>895</v>
      </c>
      <c r="AR1" s="2" t="s">
        <v>29</v>
      </c>
      <c r="AS1" s="2" t="s">
        <v>810</v>
      </c>
      <c r="AT1" s="2" t="s">
        <v>811</v>
      </c>
      <c r="AU1" s="2" t="s">
        <v>812</v>
      </c>
      <c r="AV1" s="2" t="s">
        <v>813</v>
      </c>
      <c r="AW1" s="2" t="s">
        <v>814</v>
      </c>
      <c r="AX1" s="2" t="s">
        <v>30</v>
      </c>
      <c r="AY1" s="2" t="s">
        <v>31</v>
      </c>
      <c r="AZ1" s="2" t="s">
        <v>32</v>
      </c>
      <c r="BA1" s="2" t="s">
        <v>33</v>
      </c>
      <c r="BB1" s="2" t="s">
        <v>34</v>
      </c>
      <c r="BC1" s="2" t="s">
        <v>35</v>
      </c>
      <c r="BD1" s="2" t="s">
        <v>36</v>
      </c>
      <c r="BE1" s="2" t="s">
        <v>889</v>
      </c>
      <c r="BF1" s="2" t="s">
        <v>37</v>
      </c>
      <c r="BG1" s="2" t="s">
        <v>38</v>
      </c>
      <c r="BH1" s="2" t="s">
        <v>890</v>
      </c>
      <c r="BI1" s="2" t="s">
        <v>39</v>
      </c>
      <c r="BJ1" s="2" t="s">
        <v>40</v>
      </c>
      <c r="BK1" s="2" t="s">
        <v>41</v>
      </c>
      <c r="BL1" s="2" t="s">
        <v>42</v>
      </c>
      <c r="BM1" s="2" t="s">
        <v>43</v>
      </c>
      <c r="BN1" s="2" t="s">
        <v>44</v>
      </c>
      <c r="BO1" s="2" t="s">
        <v>45</v>
      </c>
      <c r="BP1" s="2" t="s">
        <v>46</v>
      </c>
      <c r="BQ1" s="2" t="s">
        <v>47</v>
      </c>
      <c r="BR1" s="2" t="s">
        <v>48</v>
      </c>
      <c r="BS1" s="2" t="s">
        <v>49</v>
      </c>
      <c r="BT1" s="2" t="s">
        <v>798</v>
      </c>
      <c r="BU1" s="2" t="s">
        <v>799</v>
      </c>
      <c r="BV1" s="2" t="s">
        <v>800</v>
      </c>
      <c r="BW1" s="2" t="s">
        <v>801</v>
      </c>
      <c r="BX1" s="2" t="s">
        <v>802</v>
      </c>
      <c r="BY1" s="2" t="s">
        <v>803</v>
      </c>
      <c r="BZ1" s="2" t="s">
        <v>804</v>
      </c>
      <c r="CA1" s="2" t="s">
        <v>805</v>
      </c>
      <c r="CB1" s="53" t="s">
        <v>806</v>
      </c>
      <c r="CC1" s="53" t="s">
        <v>807</v>
      </c>
      <c r="CD1" s="53" t="s">
        <v>808</v>
      </c>
      <c r="CE1" s="53" t="s">
        <v>809</v>
      </c>
      <c r="CF1" s="2" t="s">
        <v>50</v>
      </c>
      <c r="CG1" s="2" t="s">
        <v>51</v>
      </c>
      <c r="CH1" s="2" t="s">
        <v>52</v>
      </c>
      <c r="CI1" s="2" t="s">
        <v>53</v>
      </c>
      <c r="CJ1" s="2" t="s">
        <v>54</v>
      </c>
      <c r="CK1" s="2" t="s">
        <v>55</v>
      </c>
      <c r="CL1" s="2" t="s">
        <v>56</v>
      </c>
      <c r="CM1" s="2" t="s">
        <v>57</v>
      </c>
      <c r="CN1" s="2" t="s">
        <v>58</v>
      </c>
      <c r="CO1" s="2" t="s">
        <v>824</v>
      </c>
      <c r="CP1" s="2" t="s">
        <v>1009</v>
      </c>
      <c r="CQ1" s="2" t="s">
        <v>59</v>
      </c>
      <c r="CR1" s="2" t="s">
        <v>60</v>
      </c>
      <c r="CS1" s="2" t="s">
        <v>794</v>
      </c>
      <c r="CT1" s="53" t="s">
        <v>61</v>
      </c>
      <c r="CU1" s="2" t="s">
        <v>795</v>
      </c>
      <c r="CV1" s="2" t="s">
        <v>62</v>
      </c>
      <c r="CW1" s="2" t="s">
        <v>796</v>
      </c>
      <c r="CX1" s="2" t="s">
        <v>63</v>
      </c>
      <c r="CY1" s="2" t="s">
        <v>64</v>
      </c>
      <c r="CZ1" s="2" t="s">
        <v>65</v>
      </c>
      <c r="DA1" s="2" t="s">
        <v>66</v>
      </c>
      <c r="DB1" s="2" t="s">
        <v>67</v>
      </c>
      <c r="DC1" s="2" t="s">
        <v>68</v>
      </c>
      <c r="DD1" s="2" t="s">
        <v>69</v>
      </c>
      <c r="DE1" s="2" t="s">
        <v>70</v>
      </c>
      <c r="DF1" s="2" t="s">
        <v>71</v>
      </c>
      <c r="DG1" s="2" t="s">
        <v>72</v>
      </c>
      <c r="DH1" s="2" t="s">
        <v>73</v>
      </c>
      <c r="DI1" s="2" t="s">
        <v>74</v>
      </c>
      <c r="DJ1" s="2" t="s">
        <v>75</v>
      </c>
      <c r="DK1" s="2" t="s">
        <v>76</v>
      </c>
      <c r="DL1" s="2" t="s">
        <v>77</v>
      </c>
      <c r="DM1" s="2" t="s">
        <v>78</v>
      </c>
      <c r="DN1" s="2" t="s">
        <v>831</v>
      </c>
      <c r="DO1" s="2" t="s">
        <v>79</v>
      </c>
      <c r="DP1" s="2" t="s">
        <v>80</v>
      </c>
      <c r="DQ1" s="2" t="s">
        <v>81</v>
      </c>
      <c r="DR1" s="2" t="s">
        <v>82</v>
      </c>
      <c r="DS1" s="2" t="s">
        <v>83</v>
      </c>
      <c r="DT1" s="2" t="s">
        <v>84</v>
      </c>
      <c r="DU1" s="2" t="s">
        <v>85</v>
      </c>
      <c r="DV1" s="2" t="s">
        <v>86</v>
      </c>
      <c r="DW1" s="2" t="s">
        <v>87</v>
      </c>
      <c r="DX1" s="2" t="s">
        <v>88</v>
      </c>
      <c r="DY1" s="2" t="s">
        <v>89</v>
      </c>
      <c r="DZ1" s="2" t="s">
        <v>90</v>
      </c>
      <c r="EA1" s="2" t="s">
        <v>91</v>
      </c>
      <c r="EB1" s="2" t="s">
        <v>92</v>
      </c>
      <c r="EC1" s="2" t="s">
        <v>93</v>
      </c>
      <c r="ED1" s="2" t="s">
        <v>94</v>
      </c>
      <c r="EE1" s="2" t="s">
        <v>95</v>
      </c>
      <c r="EF1" s="2" t="s">
        <v>96</v>
      </c>
      <c r="EG1" s="2" t="s">
        <v>97</v>
      </c>
      <c r="EH1" s="2" t="s">
        <v>98</v>
      </c>
      <c r="EI1" s="2" t="s">
        <v>99</v>
      </c>
      <c r="EJ1" s="2" t="s">
        <v>100</v>
      </c>
      <c r="EK1" s="2" t="s">
        <v>101</v>
      </c>
      <c r="EL1" s="2" t="s">
        <v>102</v>
      </c>
      <c r="EM1" s="2" t="s">
        <v>103</v>
      </c>
      <c r="EN1" s="2" t="s">
        <v>104</v>
      </c>
      <c r="EO1" s="2" t="s">
        <v>105</v>
      </c>
      <c r="EP1" s="2" t="s">
        <v>106</v>
      </c>
      <c r="EQ1" s="2" t="s">
        <v>107</v>
      </c>
      <c r="ER1" s="2" t="s">
        <v>108</v>
      </c>
      <c r="ES1" s="2" t="s">
        <v>109</v>
      </c>
      <c r="ET1" s="2" t="s">
        <v>110</v>
      </c>
      <c r="EU1" s="2" t="s">
        <v>111</v>
      </c>
      <c r="EV1" s="2" t="s">
        <v>112</v>
      </c>
      <c r="EW1" s="2" t="s">
        <v>113</v>
      </c>
      <c r="EX1" s="2" t="s">
        <v>114</v>
      </c>
      <c r="EY1" s="2" t="s">
        <v>115</v>
      </c>
      <c r="EZ1" s="2" t="s">
        <v>116</v>
      </c>
      <c r="FA1" s="2" t="s">
        <v>117</v>
      </c>
      <c r="FB1" s="2" t="s">
        <v>118</v>
      </c>
      <c r="FC1" s="2" t="s">
        <v>119</v>
      </c>
      <c r="FD1" s="2" t="s">
        <v>120</v>
      </c>
      <c r="FE1" s="2" t="s">
        <v>121</v>
      </c>
      <c r="FF1" s="2" t="s">
        <v>122</v>
      </c>
      <c r="FG1" s="2" t="s">
        <v>123</v>
      </c>
      <c r="FH1" s="2" t="s">
        <v>124</v>
      </c>
      <c r="FI1" s="2" t="s">
        <v>125</v>
      </c>
      <c r="FJ1" s="2" t="s">
        <v>126</v>
      </c>
      <c r="FK1" s="2" t="s">
        <v>127</v>
      </c>
      <c r="FL1" s="2" t="s">
        <v>128</v>
      </c>
      <c r="FM1" s="2" t="s">
        <v>877</v>
      </c>
      <c r="FN1" s="2" t="s">
        <v>878</v>
      </c>
      <c r="FO1" s="2" t="s">
        <v>879</v>
      </c>
      <c r="FP1" s="2" t="s">
        <v>880</v>
      </c>
      <c r="FQ1" s="2" t="s">
        <v>881</v>
      </c>
      <c r="FR1" s="2" t="s">
        <v>882</v>
      </c>
      <c r="FS1" s="2" t="s">
        <v>883</v>
      </c>
      <c r="FT1" s="2" t="s">
        <v>884</v>
      </c>
      <c r="FU1" s="2" t="s">
        <v>885</v>
      </c>
      <c r="FV1" s="2" t="s">
        <v>886</v>
      </c>
      <c r="FW1" s="2" t="s">
        <v>887</v>
      </c>
      <c r="FX1" s="2" t="s">
        <v>888</v>
      </c>
      <c r="FY1" s="2" t="s">
        <v>129</v>
      </c>
      <c r="FZ1" s="2" t="s">
        <v>130</v>
      </c>
      <c r="GA1" s="2" t="s">
        <v>131</v>
      </c>
      <c r="GB1" s="2" t="s">
        <v>132</v>
      </c>
      <c r="GC1" s="2" t="s">
        <v>133</v>
      </c>
      <c r="GD1" s="2" t="s">
        <v>134</v>
      </c>
      <c r="GE1" s="2" t="s">
        <v>135</v>
      </c>
      <c r="GF1" s="2" t="s">
        <v>136</v>
      </c>
      <c r="GG1" s="2" t="s">
        <v>137</v>
      </c>
      <c r="GH1" s="2" t="s">
        <v>138</v>
      </c>
      <c r="GI1" s="2" t="s">
        <v>139</v>
      </c>
      <c r="GJ1" s="2" t="s">
        <v>140</v>
      </c>
      <c r="GK1" s="2" t="s">
        <v>141</v>
      </c>
      <c r="GL1" s="2" t="s">
        <v>142</v>
      </c>
      <c r="GM1" s="2" t="s">
        <v>143</v>
      </c>
      <c r="GN1" s="2" t="s">
        <v>144</v>
      </c>
      <c r="GO1" s="2" t="s">
        <v>145</v>
      </c>
      <c r="GP1" s="2" t="s">
        <v>146</v>
      </c>
      <c r="GQ1" s="2" t="s">
        <v>147</v>
      </c>
      <c r="GR1" s="2" t="s">
        <v>148</v>
      </c>
      <c r="GS1" s="2" t="s">
        <v>149</v>
      </c>
      <c r="GT1" s="2" t="s">
        <v>150</v>
      </c>
      <c r="GU1" s="2" t="s">
        <v>151</v>
      </c>
      <c r="GV1" s="2" t="s">
        <v>152</v>
      </c>
      <c r="GW1" s="2" t="s">
        <v>153</v>
      </c>
      <c r="GX1" s="2" t="s">
        <v>154</v>
      </c>
      <c r="GY1" s="2" t="s">
        <v>155</v>
      </c>
      <c r="GZ1" s="2" t="s">
        <v>156</v>
      </c>
      <c r="HA1" s="2" t="s">
        <v>157</v>
      </c>
      <c r="HB1" s="2" t="s">
        <v>158</v>
      </c>
      <c r="HC1" s="2" t="s">
        <v>159</v>
      </c>
      <c r="HD1" s="2" t="s">
        <v>160</v>
      </c>
      <c r="HE1" s="2" t="s">
        <v>161</v>
      </c>
      <c r="HF1" s="2" t="s">
        <v>162</v>
      </c>
      <c r="HG1" s="2" t="s">
        <v>163</v>
      </c>
      <c r="HH1" s="2" t="s">
        <v>164</v>
      </c>
      <c r="HI1" s="2" t="s">
        <v>165</v>
      </c>
      <c r="HJ1" s="2" t="s">
        <v>166</v>
      </c>
      <c r="HK1" s="2" t="s">
        <v>167</v>
      </c>
      <c r="HL1" s="2" t="s">
        <v>168</v>
      </c>
      <c r="HM1" s="2" t="s">
        <v>169</v>
      </c>
      <c r="HN1" s="2" t="s">
        <v>170</v>
      </c>
      <c r="HO1" s="2" t="s">
        <v>171</v>
      </c>
      <c r="HP1" s="2" t="s">
        <v>172</v>
      </c>
      <c r="HQ1" s="2" t="s">
        <v>173</v>
      </c>
      <c r="HR1" s="2" t="s">
        <v>174</v>
      </c>
      <c r="HS1" s="2" t="s">
        <v>175</v>
      </c>
      <c r="HT1" s="2" t="s">
        <v>176</v>
      </c>
      <c r="HU1" s="2" t="s">
        <v>177</v>
      </c>
      <c r="HV1" s="2" t="s">
        <v>178</v>
      </c>
      <c r="HW1" s="2" t="s">
        <v>179</v>
      </c>
      <c r="HX1" s="2" t="s">
        <v>180</v>
      </c>
      <c r="HY1" s="2" t="s">
        <v>181</v>
      </c>
      <c r="HZ1" s="2" t="s">
        <v>182</v>
      </c>
      <c r="IA1" s="2" t="s">
        <v>183</v>
      </c>
      <c r="IB1" s="2" t="s">
        <v>184</v>
      </c>
      <c r="IC1" s="2" t="s">
        <v>185</v>
      </c>
      <c r="ID1" s="2" t="s">
        <v>186</v>
      </c>
      <c r="IE1" s="2" t="s">
        <v>187</v>
      </c>
      <c r="IF1" s="2" t="s">
        <v>188</v>
      </c>
      <c r="IG1" s="2" t="s">
        <v>189</v>
      </c>
      <c r="IH1" s="2" t="s">
        <v>190</v>
      </c>
      <c r="II1" s="2" t="s">
        <v>191</v>
      </c>
      <c r="IJ1" s="2" t="s">
        <v>192</v>
      </c>
      <c r="IK1" s="2" t="s">
        <v>193</v>
      </c>
      <c r="IL1" s="2" t="s">
        <v>194</v>
      </c>
      <c r="IM1" s="2" t="s">
        <v>195</v>
      </c>
      <c r="IN1" s="2" t="s">
        <v>196</v>
      </c>
      <c r="IO1" s="2" t="s">
        <v>197</v>
      </c>
      <c r="IP1" s="2" t="s">
        <v>198</v>
      </c>
      <c r="IQ1" s="2" t="s">
        <v>199</v>
      </c>
      <c r="IR1" s="2" t="s">
        <v>200</v>
      </c>
      <c r="IS1" s="2" t="s">
        <v>201</v>
      </c>
      <c r="IT1" s="2" t="s">
        <v>202</v>
      </c>
      <c r="IU1" s="2" t="s">
        <v>203</v>
      </c>
      <c r="IV1" s="2" t="s">
        <v>204</v>
      </c>
      <c r="IW1" s="2" t="s">
        <v>205</v>
      </c>
      <c r="IX1" s="2" t="s">
        <v>206</v>
      </c>
      <c r="IY1" s="2" t="s">
        <v>207</v>
      </c>
      <c r="IZ1" s="2" t="s">
        <v>208</v>
      </c>
      <c r="JA1" s="2" t="s">
        <v>209</v>
      </c>
      <c r="JB1" s="2" t="s">
        <v>210</v>
      </c>
      <c r="JC1" s="2" t="s">
        <v>211</v>
      </c>
      <c r="JD1" s="2" t="s">
        <v>212</v>
      </c>
      <c r="JE1" s="2" t="s">
        <v>213</v>
      </c>
      <c r="JF1" s="2" t="s">
        <v>214</v>
      </c>
      <c r="JG1" s="2" t="s">
        <v>215</v>
      </c>
      <c r="JH1" s="2" t="s">
        <v>216</v>
      </c>
      <c r="JI1" s="2" t="s">
        <v>217</v>
      </c>
      <c r="JJ1" s="2" t="s">
        <v>218</v>
      </c>
      <c r="JK1" s="2" t="s">
        <v>219</v>
      </c>
      <c r="JL1" s="2" t="s">
        <v>220</v>
      </c>
      <c r="JM1" s="2" t="s">
        <v>221</v>
      </c>
      <c r="JN1" s="2" t="s">
        <v>222</v>
      </c>
      <c r="JO1" s="2" t="s">
        <v>223</v>
      </c>
      <c r="JP1" s="2" t="s">
        <v>224</v>
      </c>
      <c r="JQ1" s="2" t="s">
        <v>225</v>
      </c>
      <c r="JR1" s="2" t="s">
        <v>226</v>
      </c>
      <c r="JS1" s="2" t="s">
        <v>227</v>
      </c>
      <c r="JT1" s="2" t="s">
        <v>228</v>
      </c>
      <c r="JU1" s="1" t="s">
        <v>229</v>
      </c>
    </row>
    <row r="2" spans="1:281" ht="20.25" customHeight="1" x14ac:dyDescent="0.2">
      <c r="A2" s="18">
        <v>47</v>
      </c>
      <c r="B2" s="19" t="s">
        <v>661</v>
      </c>
      <c r="C2" s="20" t="s">
        <v>230</v>
      </c>
      <c r="D2" s="20" t="s">
        <v>231</v>
      </c>
      <c r="E2" s="6">
        <v>1</v>
      </c>
      <c r="F2" s="7" t="s">
        <v>237</v>
      </c>
      <c r="G2" s="7" t="s">
        <v>237</v>
      </c>
      <c r="H2" s="7">
        <v>32898652</v>
      </c>
      <c r="I2" s="7"/>
      <c r="J2" s="20" t="s">
        <v>232</v>
      </c>
      <c r="K2" s="6">
        <v>2020</v>
      </c>
      <c r="L2" s="21" t="s">
        <v>233</v>
      </c>
      <c r="N2" s="20" t="s">
        <v>234</v>
      </c>
      <c r="O2" s="22" t="s">
        <v>235</v>
      </c>
      <c r="P2" s="23" t="s">
        <v>235</v>
      </c>
      <c r="Q2" s="23"/>
      <c r="R2" s="23"/>
      <c r="S2" s="23"/>
      <c r="T2" s="23"/>
      <c r="U2" s="23"/>
      <c r="V2" s="20" t="s">
        <v>236</v>
      </c>
      <c r="W2" s="20" t="s">
        <v>237</v>
      </c>
      <c r="X2" s="20" t="s">
        <v>238</v>
      </c>
      <c r="Y2" s="20" t="s">
        <v>827</v>
      </c>
      <c r="Z2" s="20" t="s">
        <v>237</v>
      </c>
      <c r="AA2" s="6">
        <v>512</v>
      </c>
      <c r="AB2" s="20" t="s">
        <v>237</v>
      </c>
      <c r="AC2" s="22" t="s">
        <v>894</v>
      </c>
      <c r="AD2" s="20" t="s">
        <v>239</v>
      </c>
      <c r="AE2" s="20" t="s">
        <v>870</v>
      </c>
      <c r="AF2" s="20" t="s">
        <v>239</v>
      </c>
      <c r="AG2" s="20" t="s">
        <v>240</v>
      </c>
      <c r="AH2" s="20" t="s">
        <v>239</v>
      </c>
      <c r="AI2" s="6">
        <v>30</v>
      </c>
      <c r="AK2" s="20" t="s">
        <v>239</v>
      </c>
      <c r="AL2" s="6">
        <v>2800</v>
      </c>
      <c r="AM2" s="20" t="s">
        <v>241</v>
      </c>
      <c r="AN2" s="22" t="s">
        <v>242</v>
      </c>
      <c r="AO2" s="22"/>
      <c r="AP2" s="22"/>
      <c r="AQ2" s="22" t="s">
        <v>896</v>
      </c>
      <c r="AR2" s="6">
        <v>6</v>
      </c>
      <c r="AS2" s="24" t="s">
        <v>243</v>
      </c>
      <c r="AT2" s="25"/>
      <c r="AU2" s="24" t="s">
        <v>871</v>
      </c>
      <c r="AV2" s="25"/>
      <c r="AW2" s="6">
        <v>40</v>
      </c>
      <c r="AX2" s="20" t="s">
        <v>244</v>
      </c>
      <c r="AY2" s="20" t="s">
        <v>245</v>
      </c>
      <c r="BB2" s="22" t="s">
        <v>246</v>
      </c>
      <c r="BC2" s="26">
        <v>0.82399999999999995</v>
      </c>
      <c r="BD2" s="26">
        <v>2.1000000000000001E-2</v>
      </c>
      <c r="BE2" s="26"/>
      <c r="BF2" s="26">
        <v>0.83499999999999996</v>
      </c>
      <c r="BG2" s="26">
        <v>2.1000000000000001E-2</v>
      </c>
      <c r="BH2" s="26"/>
      <c r="BI2" s="26">
        <v>0.85099999999999998</v>
      </c>
      <c r="BJ2" s="6">
        <v>2</v>
      </c>
      <c r="BK2" s="5" t="str">
        <f>IF(BC2&gt;BF2,"Case_greater_than_control","Control_greater_than_case")</f>
        <v>Control_greater_than_case</v>
      </c>
      <c r="BP2" s="5" t="s">
        <v>237</v>
      </c>
      <c r="BR2" s="5" t="s">
        <v>247</v>
      </c>
      <c r="BS2" s="5" t="s">
        <v>235</v>
      </c>
      <c r="BT2" s="27">
        <v>25.6</v>
      </c>
      <c r="BU2" s="27">
        <v>1.4</v>
      </c>
      <c r="BV2" s="27">
        <v>25.3</v>
      </c>
      <c r="BW2" s="27">
        <v>1.5</v>
      </c>
      <c r="BX2" s="27">
        <v>65.099999999999994</v>
      </c>
      <c r="BY2" s="27">
        <v>1.3</v>
      </c>
      <c r="BZ2" s="27">
        <v>70.400000000000006</v>
      </c>
      <c r="CA2" s="27">
        <v>1.5</v>
      </c>
      <c r="CB2" s="27">
        <v>9.3000000000000007</v>
      </c>
      <c r="CC2" s="27">
        <v>1.2</v>
      </c>
      <c r="CD2" s="27">
        <v>4.3</v>
      </c>
      <c r="CE2" s="27">
        <v>0.6</v>
      </c>
      <c r="CG2" s="22" t="s">
        <v>239</v>
      </c>
      <c r="CH2" s="20" t="s">
        <v>237</v>
      </c>
      <c r="CJ2" s="20" t="s">
        <v>239</v>
      </c>
      <c r="CK2" s="20" t="s">
        <v>248</v>
      </c>
      <c r="CL2" s="6">
        <v>16</v>
      </c>
      <c r="CM2" s="6">
        <v>9</v>
      </c>
      <c r="CN2" s="5" t="s">
        <v>249</v>
      </c>
      <c r="CO2" s="5" t="s">
        <v>249</v>
      </c>
      <c r="CP2" s="5" t="s">
        <v>249</v>
      </c>
      <c r="CQ2" s="5" t="s">
        <v>250</v>
      </c>
      <c r="CS2" s="28">
        <v>8</v>
      </c>
      <c r="CT2" s="29">
        <v>1.3</v>
      </c>
      <c r="CU2" s="30">
        <v>39</v>
      </c>
      <c r="CV2" s="30">
        <v>9</v>
      </c>
      <c r="CW2" s="30">
        <v>38</v>
      </c>
      <c r="CX2" s="30">
        <v>10</v>
      </c>
      <c r="CY2" s="30">
        <f>IF(OR(CU2="",CW2="",CL2="",CM2="",CL2+CM2=0),"",(CU2*CL2+CW2*CM2)/(CL2+CM2))</f>
        <v>38.64</v>
      </c>
      <c r="CZ2" s="28">
        <f>IF(OR(CY2="",CV2="",CX2=""),"",SQRT(((CL2-1)*(CV2^2) + (CM2-1)*(CX2^2) + CL2*(CU2-CY2)^2 + CM2*(CW2-CY2)^2) / (CL2+CM2-1)))</f>
        <v>9.1759649810433199</v>
      </c>
      <c r="DA2" s="6">
        <v>16</v>
      </c>
      <c r="DB2" s="28">
        <f>IF(DA2="","",(DA2/CL2)*100)</f>
        <v>100</v>
      </c>
      <c r="DC2" s="28">
        <v>9</v>
      </c>
      <c r="DD2" s="6">
        <f>IF(DC2="","",(DC2/CM2)*100)</f>
        <v>100</v>
      </c>
      <c r="DE2" s="28">
        <f>IF(AND(DA2&lt;&gt;"",DC2&lt;&gt;""),(DA2+DC2)/(CL2+CM2)*100,
   IF(AND(DB2&lt;&gt;"",DD2&lt;&gt;""),(DB2*CL2 + DD2*CM2)/(CL2+CM2),
   ""))</f>
        <v>100</v>
      </c>
      <c r="DG2" s="6">
        <f>SUM(CL2,CM2)</f>
        <v>25</v>
      </c>
      <c r="DH2" s="5" t="s">
        <v>237</v>
      </c>
      <c r="DI2" s="6">
        <v>0</v>
      </c>
      <c r="DJ2" s="6">
        <v>100</v>
      </c>
      <c r="DK2" s="5" t="s">
        <v>239</v>
      </c>
      <c r="DM2" s="5" t="s">
        <v>251</v>
      </c>
      <c r="DN2" s="5" t="s">
        <v>251</v>
      </c>
      <c r="DO2" s="5" t="s">
        <v>239</v>
      </c>
      <c r="DP2" s="5"/>
      <c r="DQ2" s="5"/>
      <c r="DR2" s="5"/>
      <c r="DS2" s="28">
        <v>2</v>
      </c>
      <c r="DT2" s="29">
        <v>0.4</v>
      </c>
      <c r="DU2" s="28">
        <v>93</v>
      </c>
      <c r="DV2" s="31">
        <v>3.11</v>
      </c>
      <c r="DW2" s="28">
        <v>87</v>
      </c>
      <c r="DX2" s="31">
        <v>3.23</v>
      </c>
      <c r="DY2" s="28">
        <v>99</v>
      </c>
      <c r="DZ2" s="31">
        <v>4.34</v>
      </c>
      <c r="EA2" s="28">
        <v>82</v>
      </c>
      <c r="EB2" s="31">
        <v>4.62</v>
      </c>
      <c r="EC2" s="28">
        <v>101</v>
      </c>
      <c r="ED2" s="29">
        <v>0.5</v>
      </c>
      <c r="EE2" s="28">
        <v>96</v>
      </c>
      <c r="EF2" s="31">
        <v>4.43</v>
      </c>
      <c r="EG2" s="28">
        <v>102</v>
      </c>
      <c r="EH2" s="31">
        <v>2.7</v>
      </c>
      <c r="EI2" s="28">
        <v>92</v>
      </c>
      <c r="EJ2" s="31">
        <v>3.98</v>
      </c>
      <c r="EK2" s="28">
        <v>96</v>
      </c>
      <c r="EL2" s="31">
        <v>3.66</v>
      </c>
      <c r="EM2" s="28">
        <v>84</v>
      </c>
      <c r="EN2" s="31">
        <v>4.59</v>
      </c>
      <c r="HA2" s="28">
        <v>65</v>
      </c>
      <c r="HB2" s="31">
        <v>2.91</v>
      </c>
      <c r="HC2" s="28">
        <v>50</v>
      </c>
      <c r="HD2" s="31">
        <v>2.81</v>
      </c>
      <c r="HY2" s="28">
        <v>4</v>
      </c>
      <c r="HZ2" s="31">
        <v>1.32</v>
      </c>
      <c r="IA2" s="28">
        <v>6</v>
      </c>
      <c r="IB2" s="31">
        <v>1.24</v>
      </c>
      <c r="IC2" s="28">
        <v>2</v>
      </c>
      <c r="ID2" s="31">
        <v>0.48</v>
      </c>
      <c r="IE2" s="28">
        <v>5</v>
      </c>
      <c r="IF2" s="31">
        <v>1.1100000000000001</v>
      </c>
      <c r="IG2" s="28">
        <v>8</v>
      </c>
      <c r="IH2" s="31">
        <v>1.22</v>
      </c>
      <c r="II2" s="28">
        <v>11</v>
      </c>
      <c r="IJ2" s="31">
        <v>2.06</v>
      </c>
      <c r="IK2" s="28">
        <v>14</v>
      </c>
      <c r="IL2" s="31">
        <v>2.2599999999999998</v>
      </c>
      <c r="IM2" s="28">
        <v>22</v>
      </c>
      <c r="IN2" s="31">
        <v>3.56</v>
      </c>
      <c r="JE2" s="28">
        <v>10</v>
      </c>
      <c r="JF2" s="31">
        <v>1.7</v>
      </c>
      <c r="JG2" s="28">
        <v>14</v>
      </c>
      <c r="JH2" s="31">
        <v>1.76</v>
      </c>
      <c r="JI2" s="28">
        <v>6</v>
      </c>
      <c r="JJ2" s="31">
        <v>1.31</v>
      </c>
      <c r="JK2" s="28">
        <v>15</v>
      </c>
      <c r="JL2" s="31">
        <v>2.46</v>
      </c>
      <c r="JM2" s="28">
        <v>16</v>
      </c>
      <c r="JN2" s="31">
        <v>2.8</v>
      </c>
      <c r="JO2" s="28">
        <v>29</v>
      </c>
      <c r="JP2" s="31">
        <v>3.96</v>
      </c>
      <c r="JU2" s="5" t="s">
        <v>252</v>
      </c>
    </row>
    <row r="3" spans="1:281" ht="20" customHeight="1" x14ac:dyDescent="0.2">
      <c r="A3" s="18">
        <v>47</v>
      </c>
      <c r="B3" s="19" t="s">
        <v>662</v>
      </c>
      <c r="C3" s="20" t="s">
        <v>230</v>
      </c>
      <c r="D3" s="20" t="s">
        <v>231</v>
      </c>
      <c r="E3" s="6">
        <v>1</v>
      </c>
      <c r="F3" s="7" t="s">
        <v>239</v>
      </c>
      <c r="G3" s="7" t="s">
        <v>237</v>
      </c>
      <c r="H3" s="7">
        <v>32898652</v>
      </c>
      <c r="I3" s="7"/>
      <c r="J3" s="20" t="s">
        <v>232</v>
      </c>
      <c r="K3" s="6">
        <v>2020</v>
      </c>
      <c r="L3" s="21" t="s">
        <v>233</v>
      </c>
      <c r="N3" s="5" t="s">
        <v>234</v>
      </c>
      <c r="O3" s="5" t="s">
        <v>235</v>
      </c>
      <c r="P3" s="32" t="s">
        <v>235</v>
      </c>
      <c r="Q3" s="32"/>
      <c r="R3" s="32"/>
      <c r="S3" s="32"/>
      <c r="T3" s="32"/>
      <c r="U3" s="32"/>
      <c r="V3" s="5" t="s">
        <v>236</v>
      </c>
      <c r="W3" s="5" t="s">
        <v>237</v>
      </c>
      <c r="X3" s="5" t="s">
        <v>238</v>
      </c>
      <c r="Y3" s="5" t="s">
        <v>827</v>
      </c>
      <c r="Z3" s="5" t="s">
        <v>237</v>
      </c>
      <c r="AA3" s="6">
        <v>512</v>
      </c>
      <c r="AB3" s="5" t="s">
        <v>237</v>
      </c>
      <c r="AC3" s="22" t="s">
        <v>894</v>
      </c>
      <c r="AD3" s="5" t="s">
        <v>239</v>
      </c>
      <c r="AE3" s="20" t="s">
        <v>870</v>
      </c>
      <c r="AF3" s="5" t="s">
        <v>239</v>
      </c>
      <c r="AG3" s="5" t="s">
        <v>240</v>
      </c>
      <c r="AH3" s="5" t="s">
        <v>239</v>
      </c>
      <c r="AI3" s="6">
        <v>30</v>
      </c>
      <c r="AK3" s="5" t="s">
        <v>239</v>
      </c>
      <c r="AL3" s="6">
        <v>2800</v>
      </c>
      <c r="AM3" s="5" t="s">
        <v>241</v>
      </c>
      <c r="AN3" s="5" t="s">
        <v>242</v>
      </c>
      <c r="AO3" s="5"/>
      <c r="AP3" s="5"/>
      <c r="AQ3" s="22" t="s">
        <v>896</v>
      </c>
      <c r="AR3" s="6">
        <v>6</v>
      </c>
      <c r="AS3" s="33"/>
      <c r="AT3" s="33"/>
      <c r="AU3" s="33"/>
      <c r="AV3" s="33"/>
      <c r="AW3" s="6">
        <v>40</v>
      </c>
      <c r="AX3" s="5" t="s">
        <v>253</v>
      </c>
      <c r="AY3" s="5" t="s">
        <v>245</v>
      </c>
      <c r="BB3" s="22" t="s">
        <v>246</v>
      </c>
      <c r="BC3" s="26">
        <v>0.745</v>
      </c>
      <c r="BD3" s="26">
        <v>2.4E-2</v>
      </c>
      <c r="BE3" s="26"/>
      <c r="BF3" s="31">
        <v>0.71</v>
      </c>
      <c r="BG3" s="26">
        <v>0.02</v>
      </c>
      <c r="BH3" s="26"/>
      <c r="BI3" s="26">
        <v>0.39200000000000002</v>
      </c>
      <c r="BJ3" s="6">
        <v>2</v>
      </c>
      <c r="BK3" s="5" t="str">
        <f t="shared" ref="BK3:BK5" si="0">IF(BC3&gt;BF3,"Case_greater_than_control","Control_greater_than_case")</f>
        <v>Case_greater_than_control</v>
      </c>
      <c r="BP3" s="5" t="s">
        <v>237</v>
      </c>
      <c r="BR3" s="5" t="s">
        <v>247</v>
      </c>
      <c r="BS3" s="5" t="s">
        <v>235</v>
      </c>
      <c r="BT3" s="27">
        <v>25.6</v>
      </c>
      <c r="BU3" s="27">
        <v>1.4</v>
      </c>
      <c r="BV3" s="27">
        <v>25.3</v>
      </c>
      <c r="BW3" s="27">
        <v>1.5</v>
      </c>
      <c r="BX3" s="27">
        <v>65.099999999999994</v>
      </c>
      <c r="BY3" s="27">
        <v>1.3</v>
      </c>
      <c r="BZ3" s="27">
        <v>70.400000000000006</v>
      </c>
      <c r="CA3" s="27">
        <v>1.5</v>
      </c>
      <c r="CB3" s="27">
        <v>9.3000000000000007</v>
      </c>
      <c r="CC3" s="27">
        <v>1.2</v>
      </c>
      <c r="CD3" s="27">
        <v>4.3</v>
      </c>
      <c r="CE3" s="27">
        <v>0.6</v>
      </c>
      <c r="CG3" s="5" t="s">
        <v>239</v>
      </c>
      <c r="CH3" s="5" t="s">
        <v>237</v>
      </c>
      <c r="CJ3" s="5" t="s">
        <v>239</v>
      </c>
      <c r="CK3" s="5" t="s">
        <v>248</v>
      </c>
      <c r="CL3" s="6">
        <v>16</v>
      </c>
      <c r="CM3" s="6">
        <v>9</v>
      </c>
      <c r="CN3" s="5" t="s">
        <v>249</v>
      </c>
      <c r="CO3" s="5" t="s">
        <v>249</v>
      </c>
      <c r="CP3" s="5" t="s">
        <v>249</v>
      </c>
      <c r="CQ3" s="6" t="s">
        <v>250</v>
      </c>
      <c r="CS3" s="28">
        <v>8</v>
      </c>
      <c r="CT3" s="29">
        <v>1.3</v>
      </c>
      <c r="CU3" s="30">
        <v>39</v>
      </c>
      <c r="CV3" s="30">
        <v>9</v>
      </c>
      <c r="CW3" s="30">
        <v>38</v>
      </c>
      <c r="CX3" s="30">
        <v>10</v>
      </c>
      <c r="CY3" s="30">
        <f t="shared" ref="CY3:CY10" si="1">IF(OR(CU3="",CW3="",CL3="",CM3="",CL3+CM3=0),"",(CU3*CL3+CW3*CM3)/(CL3+CM3))</f>
        <v>38.64</v>
      </c>
      <c r="CZ3" s="28">
        <f t="shared" ref="CZ3:CZ5" si="2">IF(OR(CY3="",CV3="",CX3=""),"",SQRT(((CL3-1)*(CV3^2) + (CM3-1)*(CX3^2) + CL3*(CU3-CY3)^2 + CM3*(CW3-CY3)^2) / (CL3+CM3-1)))</f>
        <v>9.1759649810433199</v>
      </c>
      <c r="DA3" s="6">
        <v>16</v>
      </c>
      <c r="DB3" s="28">
        <f>IF(DA3="","",(DA3/CL3)*100)</f>
        <v>100</v>
      </c>
      <c r="DC3" s="28">
        <v>9</v>
      </c>
      <c r="DD3" s="6">
        <f t="shared" ref="DD3:DD5" si="3">IF(DC3="","",(DC3/CM3)*100)</f>
        <v>100</v>
      </c>
      <c r="DE3" s="28">
        <f t="shared" ref="DE3:DE5" si="4">IF(AND(DA3&lt;&gt;"",DC3&lt;&gt;""),(DA3+DC3)/(CL3+CM3)*100,
   IF(AND(DB3&lt;&gt;"",DD3&lt;&gt;""),(DB3*CL3 + DD3*CM3)/(CL3+CM3),
   ""))</f>
        <v>100</v>
      </c>
      <c r="DG3" s="6">
        <f t="shared" ref="DG3:DG10" si="5">SUM(CL3,CM3)</f>
        <v>25</v>
      </c>
      <c r="DH3" s="5" t="s">
        <v>237</v>
      </c>
      <c r="DI3" s="6">
        <v>0</v>
      </c>
      <c r="DJ3" s="6">
        <v>100</v>
      </c>
      <c r="DK3" s="5" t="s">
        <v>239</v>
      </c>
      <c r="DM3" s="5" t="s">
        <v>251</v>
      </c>
      <c r="DN3" s="5" t="s">
        <v>251</v>
      </c>
      <c r="DO3" s="5" t="s">
        <v>239</v>
      </c>
      <c r="DP3" s="5"/>
      <c r="DQ3" s="5"/>
      <c r="DR3" s="5"/>
      <c r="DS3" s="28">
        <v>2</v>
      </c>
      <c r="DT3" s="29">
        <v>0.4</v>
      </c>
      <c r="DU3" s="28">
        <v>93</v>
      </c>
      <c r="DV3" s="31">
        <v>3.11</v>
      </c>
      <c r="DW3" s="28">
        <v>87</v>
      </c>
      <c r="DX3" s="31">
        <v>3.23</v>
      </c>
      <c r="DY3" s="28">
        <v>99</v>
      </c>
      <c r="DZ3" s="31">
        <v>4.34</v>
      </c>
      <c r="EA3" s="28">
        <v>82</v>
      </c>
      <c r="EB3" s="31">
        <v>4.62</v>
      </c>
      <c r="EC3" s="28">
        <v>101</v>
      </c>
      <c r="ED3" s="29">
        <v>0.5</v>
      </c>
      <c r="EE3" s="28">
        <v>96</v>
      </c>
      <c r="EF3" s="31">
        <v>4.43</v>
      </c>
      <c r="EG3" s="28">
        <v>102</v>
      </c>
      <c r="EH3" s="31">
        <v>2.7</v>
      </c>
      <c r="EI3" s="28">
        <v>92</v>
      </c>
      <c r="EJ3" s="31">
        <v>3.98</v>
      </c>
      <c r="EK3" s="28">
        <v>96</v>
      </c>
      <c r="EL3" s="31">
        <v>3.66</v>
      </c>
      <c r="EM3" s="28">
        <v>84</v>
      </c>
      <c r="EN3" s="31">
        <v>4.59</v>
      </c>
      <c r="HA3" s="28">
        <v>65</v>
      </c>
      <c r="HB3" s="31">
        <v>2.91</v>
      </c>
      <c r="HC3" s="28">
        <v>50</v>
      </c>
      <c r="HD3" s="31">
        <v>2.81</v>
      </c>
      <c r="HY3" s="28">
        <v>4</v>
      </c>
      <c r="HZ3" s="31">
        <v>1.32</v>
      </c>
      <c r="IA3" s="28">
        <v>6</v>
      </c>
      <c r="IB3" s="31">
        <v>1.24</v>
      </c>
      <c r="IC3" s="28">
        <v>2</v>
      </c>
      <c r="ID3" s="31">
        <v>0.48</v>
      </c>
      <c r="IE3" s="28">
        <v>5</v>
      </c>
      <c r="IF3" s="31">
        <v>1.1100000000000001</v>
      </c>
      <c r="IG3" s="28">
        <v>8</v>
      </c>
      <c r="IH3" s="31">
        <v>1.22</v>
      </c>
      <c r="II3" s="28">
        <v>11</v>
      </c>
      <c r="IJ3" s="31">
        <v>2.06</v>
      </c>
      <c r="IK3" s="28">
        <v>14</v>
      </c>
      <c r="IL3" s="31">
        <v>2.2599999999999998</v>
      </c>
      <c r="IM3" s="28">
        <v>22</v>
      </c>
      <c r="IN3" s="31">
        <v>3.56</v>
      </c>
      <c r="JE3" s="28">
        <v>10</v>
      </c>
      <c r="JF3" s="31">
        <v>1.7</v>
      </c>
      <c r="JG3" s="28">
        <v>14</v>
      </c>
      <c r="JH3" s="31">
        <v>1.76</v>
      </c>
      <c r="JI3" s="28">
        <v>6</v>
      </c>
      <c r="JJ3" s="31">
        <v>1.31</v>
      </c>
      <c r="JK3" s="28">
        <v>15</v>
      </c>
      <c r="JL3" s="31">
        <v>2.46</v>
      </c>
      <c r="JM3" s="28">
        <v>16</v>
      </c>
      <c r="JN3" s="31">
        <v>2.8</v>
      </c>
      <c r="JO3" s="28">
        <v>29</v>
      </c>
      <c r="JP3" s="31">
        <v>3.96</v>
      </c>
      <c r="JU3" s="5" t="s">
        <v>252</v>
      </c>
    </row>
    <row r="4" spans="1:281" ht="20" customHeight="1" x14ac:dyDescent="0.2">
      <c r="A4" s="18">
        <v>47</v>
      </c>
      <c r="B4" s="19" t="s">
        <v>663</v>
      </c>
      <c r="C4" s="20" t="s">
        <v>230</v>
      </c>
      <c r="D4" s="20" t="s">
        <v>231</v>
      </c>
      <c r="E4" s="6">
        <v>1</v>
      </c>
      <c r="F4" s="7" t="s">
        <v>237</v>
      </c>
      <c r="G4" s="7" t="s">
        <v>237</v>
      </c>
      <c r="H4" s="7">
        <v>32898652</v>
      </c>
      <c r="I4" s="7"/>
      <c r="J4" s="20" t="s">
        <v>232</v>
      </c>
      <c r="K4" s="6">
        <v>2020</v>
      </c>
      <c r="L4" s="21" t="s">
        <v>233</v>
      </c>
      <c r="N4" s="5" t="s">
        <v>234</v>
      </c>
      <c r="O4" s="5" t="s">
        <v>254</v>
      </c>
      <c r="P4" s="32" t="s">
        <v>254</v>
      </c>
      <c r="Q4" s="32"/>
      <c r="R4" s="32"/>
      <c r="S4" s="32"/>
      <c r="T4" s="32"/>
      <c r="U4" s="32"/>
      <c r="V4" s="5" t="s">
        <v>236</v>
      </c>
      <c r="W4" s="5" t="s">
        <v>237</v>
      </c>
      <c r="X4" s="5" t="s">
        <v>238</v>
      </c>
      <c r="Y4" s="5" t="s">
        <v>827</v>
      </c>
      <c r="Z4" s="5" t="s">
        <v>237</v>
      </c>
      <c r="AA4" s="6">
        <v>512</v>
      </c>
      <c r="AB4" s="5" t="s">
        <v>237</v>
      </c>
      <c r="AC4" s="22" t="s">
        <v>894</v>
      </c>
      <c r="AD4" s="5" t="s">
        <v>239</v>
      </c>
      <c r="AE4" s="34" t="s">
        <v>870</v>
      </c>
      <c r="AF4" s="5" t="s">
        <v>239</v>
      </c>
      <c r="AG4" s="5" t="s">
        <v>240</v>
      </c>
      <c r="AH4" s="5" t="s">
        <v>239</v>
      </c>
      <c r="AI4" s="6">
        <v>30</v>
      </c>
      <c r="AK4" s="5" t="s">
        <v>239</v>
      </c>
      <c r="AL4" s="6">
        <v>2800</v>
      </c>
      <c r="AM4" s="5" t="s">
        <v>241</v>
      </c>
      <c r="AN4" s="5" t="s">
        <v>242</v>
      </c>
      <c r="AO4" s="5"/>
      <c r="AP4" s="5"/>
      <c r="AQ4" s="22" t="s">
        <v>896</v>
      </c>
      <c r="AR4" s="6">
        <v>6</v>
      </c>
      <c r="AS4" s="24" t="s">
        <v>243</v>
      </c>
      <c r="AT4" s="25"/>
      <c r="AU4" s="24" t="s">
        <v>871</v>
      </c>
      <c r="AV4" s="25"/>
      <c r="AW4" s="6">
        <v>40</v>
      </c>
      <c r="AX4" s="5" t="s">
        <v>244</v>
      </c>
      <c r="AY4" s="5" t="s">
        <v>245</v>
      </c>
      <c r="BB4" s="22" t="s">
        <v>246</v>
      </c>
      <c r="BC4" s="26">
        <v>0.76</v>
      </c>
      <c r="BD4" s="26">
        <v>2.4E-2</v>
      </c>
      <c r="BE4" s="26"/>
      <c r="BF4" s="26">
        <v>0.83499999999999996</v>
      </c>
      <c r="BG4" s="26">
        <v>2.1000000000000001E-2</v>
      </c>
      <c r="BH4" s="26"/>
      <c r="BI4" s="26">
        <v>4.7E-2</v>
      </c>
      <c r="BJ4" s="6">
        <v>2</v>
      </c>
      <c r="BK4" s="5" t="str">
        <f t="shared" si="0"/>
        <v>Control_greater_than_case</v>
      </c>
      <c r="BP4" s="5" t="s">
        <v>237</v>
      </c>
      <c r="BR4" s="5" t="s">
        <v>247</v>
      </c>
      <c r="BS4" s="5" t="s">
        <v>254</v>
      </c>
      <c r="BT4" s="27">
        <v>22.7</v>
      </c>
      <c r="BU4" s="27">
        <v>1.4</v>
      </c>
      <c r="BV4" s="27">
        <v>25.3</v>
      </c>
      <c r="BW4" s="27">
        <v>1.5</v>
      </c>
      <c r="BX4" s="27">
        <v>65.400000000000006</v>
      </c>
      <c r="BY4" s="27">
        <v>1.3</v>
      </c>
      <c r="BZ4" s="27">
        <v>70.400000000000006</v>
      </c>
      <c r="CA4" s="27">
        <v>1.5</v>
      </c>
      <c r="CB4" s="27">
        <v>12</v>
      </c>
      <c r="CC4" s="27">
        <v>1.3</v>
      </c>
      <c r="CD4" s="27">
        <v>4.3</v>
      </c>
      <c r="CE4" s="27">
        <v>0.6</v>
      </c>
      <c r="CG4" s="5" t="s">
        <v>239</v>
      </c>
      <c r="CH4" s="5" t="s">
        <v>237</v>
      </c>
      <c r="CJ4" s="5" t="s">
        <v>239</v>
      </c>
      <c r="CK4" s="5" t="s">
        <v>248</v>
      </c>
      <c r="CL4" s="6">
        <v>16</v>
      </c>
      <c r="CM4" s="6">
        <v>9</v>
      </c>
      <c r="CN4" s="5" t="s">
        <v>249</v>
      </c>
      <c r="CO4" s="5" t="s">
        <v>249</v>
      </c>
      <c r="CP4" s="5" t="s">
        <v>249</v>
      </c>
      <c r="CQ4" s="6" t="s">
        <v>250</v>
      </c>
      <c r="CS4" s="28">
        <v>8</v>
      </c>
      <c r="CT4" s="29">
        <v>1.3</v>
      </c>
      <c r="CU4" s="30">
        <v>39</v>
      </c>
      <c r="CV4" s="30">
        <v>9</v>
      </c>
      <c r="CW4" s="30">
        <v>38</v>
      </c>
      <c r="CX4" s="30">
        <v>10</v>
      </c>
      <c r="CY4" s="30">
        <f t="shared" si="1"/>
        <v>38.64</v>
      </c>
      <c r="CZ4" s="28">
        <f t="shared" si="2"/>
        <v>9.1759649810433199</v>
      </c>
      <c r="DA4" s="6">
        <v>16</v>
      </c>
      <c r="DB4" s="28">
        <f t="shared" ref="DB4:DB5" si="6">IF(DA4="","",(DA4/CL4)*100)</f>
        <v>100</v>
      </c>
      <c r="DC4" s="28">
        <v>9</v>
      </c>
      <c r="DD4" s="6">
        <f t="shared" si="3"/>
        <v>100</v>
      </c>
      <c r="DE4" s="28">
        <f>IF(AND(DA4&lt;&gt;"",DC4&lt;&gt;""),(DA4+DC4)/(CL4+CM4)*100,
   IF(AND(DB4&lt;&gt;"",DD4&lt;&gt;""),(DB4*CL4 + DD4*CM4)/(CL4+CM4),
   ""))</f>
        <v>100</v>
      </c>
      <c r="DG4" s="6">
        <f t="shared" si="5"/>
        <v>25</v>
      </c>
      <c r="DH4" s="5" t="s">
        <v>237</v>
      </c>
      <c r="DI4" s="6">
        <v>0</v>
      </c>
      <c r="DJ4" s="6">
        <v>100</v>
      </c>
      <c r="DK4" s="5" t="s">
        <v>239</v>
      </c>
      <c r="DM4" s="5" t="s">
        <v>251</v>
      </c>
      <c r="DN4" s="5" t="s">
        <v>251</v>
      </c>
      <c r="DO4" s="5" t="s">
        <v>239</v>
      </c>
      <c r="DP4" s="5"/>
      <c r="DQ4" s="5"/>
      <c r="DR4" s="5"/>
      <c r="DS4" s="28">
        <v>2</v>
      </c>
      <c r="DT4" s="29">
        <v>0.4</v>
      </c>
      <c r="DU4" s="28">
        <v>93</v>
      </c>
      <c r="DV4" s="31">
        <v>3.11</v>
      </c>
      <c r="DW4" s="28">
        <v>87</v>
      </c>
      <c r="DX4" s="31">
        <v>3.23</v>
      </c>
      <c r="DY4" s="28">
        <v>99</v>
      </c>
      <c r="DZ4" s="31">
        <v>4.34</v>
      </c>
      <c r="EA4" s="28">
        <v>82</v>
      </c>
      <c r="EB4" s="31">
        <v>4.62</v>
      </c>
      <c r="EC4" s="28">
        <v>101</v>
      </c>
      <c r="ED4" s="29">
        <v>0.5</v>
      </c>
      <c r="EE4" s="28">
        <v>96</v>
      </c>
      <c r="EF4" s="31">
        <v>4.43</v>
      </c>
      <c r="EG4" s="28">
        <v>102</v>
      </c>
      <c r="EH4" s="31">
        <v>2.7</v>
      </c>
      <c r="EI4" s="28">
        <v>92</v>
      </c>
      <c r="EJ4" s="31">
        <v>3.98</v>
      </c>
      <c r="EK4" s="28">
        <v>96</v>
      </c>
      <c r="EL4" s="31">
        <v>3.66</v>
      </c>
      <c r="EM4" s="28">
        <v>84</v>
      </c>
      <c r="EN4" s="31">
        <v>4.59</v>
      </c>
      <c r="HA4" s="28">
        <v>65</v>
      </c>
      <c r="HB4" s="31">
        <v>2.91</v>
      </c>
      <c r="HC4" s="28">
        <v>50</v>
      </c>
      <c r="HD4" s="31">
        <v>2.81</v>
      </c>
      <c r="HY4" s="28">
        <v>4</v>
      </c>
      <c r="HZ4" s="31">
        <v>1.32</v>
      </c>
      <c r="IA4" s="28">
        <v>6</v>
      </c>
      <c r="IB4" s="31">
        <v>1.24</v>
      </c>
      <c r="IC4" s="28">
        <v>2</v>
      </c>
      <c r="ID4" s="31">
        <v>0.48</v>
      </c>
      <c r="IE4" s="28">
        <v>5</v>
      </c>
      <c r="IF4" s="31">
        <v>1.1100000000000001</v>
      </c>
      <c r="IG4" s="28">
        <v>8</v>
      </c>
      <c r="IH4" s="31">
        <v>1.22</v>
      </c>
      <c r="II4" s="28">
        <v>11</v>
      </c>
      <c r="IJ4" s="31">
        <v>2.06</v>
      </c>
      <c r="IK4" s="28">
        <v>14</v>
      </c>
      <c r="IL4" s="31">
        <v>2.2599999999999998</v>
      </c>
      <c r="IM4" s="28">
        <v>22</v>
      </c>
      <c r="IN4" s="31">
        <v>3.56</v>
      </c>
      <c r="JE4" s="28">
        <v>10</v>
      </c>
      <c r="JF4" s="31">
        <v>1.7</v>
      </c>
      <c r="JG4" s="28">
        <v>14</v>
      </c>
      <c r="JH4" s="31">
        <v>1.76</v>
      </c>
      <c r="JI4" s="28">
        <v>6</v>
      </c>
      <c r="JJ4" s="31">
        <v>1.31</v>
      </c>
      <c r="JK4" s="28">
        <v>15</v>
      </c>
      <c r="JL4" s="31">
        <v>2.46</v>
      </c>
      <c r="JM4" s="28">
        <v>16</v>
      </c>
      <c r="JN4" s="31">
        <v>2.8</v>
      </c>
      <c r="JO4" s="28">
        <v>29</v>
      </c>
      <c r="JP4" s="31">
        <v>3.96</v>
      </c>
      <c r="JU4" s="5" t="s">
        <v>252</v>
      </c>
    </row>
    <row r="5" spans="1:281" s="70" customFormat="1" ht="20" customHeight="1" x14ac:dyDescent="0.2">
      <c r="A5" s="66">
        <v>47</v>
      </c>
      <c r="B5" s="67" t="s">
        <v>664</v>
      </c>
      <c r="C5" s="68" t="s">
        <v>230</v>
      </c>
      <c r="D5" s="69" t="s">
        <v>231</v>
      </c>
      <c r="E5" s="70">
        <v>1</v>
      </c>
      <c r="F5" s="71" t="s">
        <v>239</v>
      </c>
      <c r="G5" s="71" t="s">
        <v>237</v>
      </c>
      <c r="H5" s="71">
        <v>32898652</v>
      </c>
      <c r="I5" s="71"/>
      <c r="J5" s="69" t="s">
        <v>232</v>
      </c>
      <c r="K5" s="70">
        <v>2020</v>
      </c>
      <c r="L5" s="72" t="s">
        <v>233</v>
      </c>
      <c r="N5" s="73" t="s">
        <v>234</v>
      </c>
      <c r="O5" s="73" t="s">
        <v>254</v>
      </c>
      <c r="P5" s="74" t="s">
        <v>254</v>
      </c>
      <c r="Q5" s="74"/>
      <c r="R5" s="74"/>
      <c r="S5" s="74"/>
      <c r="T5" s="74"/>
      <c r="U5" s="74"/>
      <c r="V5" s="73" t="s">
        <v>236</v>
      </c>
      <c r="W5" s="73" t="s">
        <v>237</v>
      </c>
      <c r="X5" s="73" t="s">
        <v>238</v>
      </c>
      <c r="Y5" s="73" t="s">
        <v>827</v>
      </c>
      <c r="Z5" s="73" t="s">
        <v>237</v>
      </c>
      <c r="AA5" s="70">
        <v>512</v>
      </c>
      <c r="AB5" s="73" t="s">
        <v>237</v>
      </c>
      <c r="AC5" s="68" t="s">
        <v>894</v>
      </c>
      <c r="AD5" s="73" t="s">
        <v>239</v>
      </c>
      <c r="AE5" s="75" t="s">
        <v>870</v>
      </c>
      <c r="AF5" s="73" t="s">
        <v>239</v>
      </c>
      <c r="AG5" s="73" t="s">
        <v>240</v>
      </c>
      <c r="AH5" s="73" t="s">
        <v>239</v>
      </c>
      <c r="AI5" s="70">
        <v>30</v>
      </c>
      <c r="AK5" s="73" t="s">
        <v>239</v>
      </c>
      <c r="AL5" s="70">
        <v>2800</v>
      </c>
      <c r="AM5" s="73" t="s">
        <v>241</v>
      </c>
      <c r="AN5" s="73" t="s">
        <v>242</v>
      </c>
      <c r="AO5" s="73"/>
      <c r="AP5" s="73"/>
      <c r="AQ5" s="68" t="s">
        <v>896</v>
      </c>
      <c r="AR5" s="70">
        <v>6</v>
      </c>
      <c r="AS5" s="76"/>
      <c r="AT5" s="76"/>
      <c r="AU5" s="76"/>
      <c r="AV5" s="76"/>
      <c r="AW5" s="70">
        <v>40</v>
      </c>
      <c r="AX5" s="73" t="s">
        <v>253</v>
      </c>
      <c r="AY5" s="73" t="s">
        <v>245</v>
      </c>
      <c r="BB5" s="68" t="s">
        <v>246</v>
      </c>
      <c r="BC5" s="77">
        <v>0.65400000000000003</v>
      </c>
      <c r="BD5" s="77">
        <v>1.9E-2</v>
      </c>
      <c r="BE5" s="77"/>
      <c r="BF5" s="78">
        <v>0.71</v>
      </c>
      <c r="BG5" s="77">
        <v>0.02</v>
      </c>
      <c r="BH5" s="77"/>
      <c r="BI5" s="77">
        <v>4.8000000000000001E-2</v>
      </c>
      <c r="BJ5" s="70">
        <v>2</v>
      </c>
      <c r="BK5" s="73" t="str">
        <f t="shared" si="0"/>
        <v>Control_greater_than_case</v>
      </c>
      <c r="BP5" s="73" t="s">
        <v>237</v>
      </c>
      <c r="BR5" s="73" t="s">
        <v>247</v>
      </c>
      <c r="BS5" s="73" t="s">
        <v>254</v>
      </c>
      <c r="BT5" s="79">
        <v>22.7</v>
      </c>
      <c r="BU5" s="79">
        <v>1.4</v>
      </c>
      <c r="BV5" s="79">
        <v>25.3</v>
      </c>
      <c r="BW5" s="79">
        <v>1.5</v>
      </c>
      <c r="BX5" s="79">
        <v>65.400000000000006</v>
      </c>
      <c r="BY5" s="79">
        <v>1.3</v>
      </c>
      <c r="BZ5" s="79">
        <v>70.400000000000006</v>
      </c>
      <c r="CA5" s="79">
        <v>1.5</v>
      </c>
      <c r="CB5" s="79">
        <v>12</v>
      </c>
      <c r="CC5" s="79">
        <v>1.3</v>
      </c>
      <c r="CD5" s="79">
        <v>4.3</v>
      </c>
      <c r="CE5" s="79">
        <v>0.6</v>
      </c>
      <c r="CG5" s="73" t="s">
        <v>239</v>
      </c>
      <c r="CH5" s="73" t="s">
        <v>237</v>
      </c>
      <c r="CJ5" s="73" t="s">
        <v>239</v>
      </c>
      <c r="CK5" s="73" t="s">
        <v>248</v>
      </c>
      <c r="CL5" s="70">
        <v>16</v>
      </c>
      <c r="CM5" s="70">
        <v>9</v>
      </c>
      <c r="CN5" s="73" t="s">
        <v>249</v>
      </c>
      <c r="CO5" s="73" t="s">
        <v>249</v>
      </c>
      <c r="CP5" s="73" t="s">
        <v>249</v>
      </c>
      <c r="CQ5" s="70" t="s">
        <v>250</v>
      </c>
      <c r="CS5" s="80">
        <v>8</v>
      </c>
      <c r="CT5" s="81">
        <v>1.3</v>
      </c>
      <c r="CU5" s="82">
        <v>39</v>
      </c>
      <c r="CV5" s="82">
        <v>9</v>
      </c>
      <c r="CW5" s="82">
        <v>38</v>
      </c>
      <c r="CX5" s="82">
        <v>10</v>
      </c>
      <c r="CY5" s="82">
        <f t="shared" si="1"/>
        <v>38.64</v>
      </c>
      <c r="CZ5" s="80">
        <f t="shared" si="2"/>
        <v>9.1759649810433199</v>
      </c>
      <c r="DA5" s="70">
        <v>16</v>
      </c>
      <c r="DB5" s="80">
        <f t="shared" si="6"/>
        <v>100</v>
      </c>
      <c r="DC5" s="80">
        <v>9</v>
      </c>
      <c r="DD5" s="70">
        <f t="shared" si="3"/>
        <v>100</v>
      </c>
      <c r="DE5" s="80">
        <f t="shared" si="4"/>
        <v>100</v>
      </c>
      <c r="DG5" s="70">
        <f t="shared" si="5"/>
        <v>25</v>
      </c>
      <c r="DH5" s="73" t="s">
        <v>237</v>
      </c>
      <c r="DI5" s="70">
        <v>0</v>
      </c>
      <c r="DJ5" s="70">
        <v>100</v>
      </c>
      <c r="DK5" s="73" t="s">
        <v>239</v>
      </c>
      <c r="DM5" s="73" t="s">
        <v>251</v>
      </c>
      <c r="DN5" s="73" t="s">
        <v>251</v>
      </c>
      <c r="DO5" s="73" t="s">
        <v>239</v>
      </c>
      <c r="DP5" s="73"/>
      <c r="DQ5" s="73"/>
      <c r="DR5" s="73"/>
      <c r="DS5" s="80">
        <v>2</v>
      </c>
      <c r="DT5" s="81">
        <v>0.4</v>
      </c>
      <c r="DU5" s="80">
        <v>93</v>
      </c>
      <c r="DV5" s="78">
        <v>3.11</v>
      </c>
      <c r="DW5" s="80">
        <v>87</v>
      </c>
      <c r="DX5" s="78">
        <v>3.23</v>
      </c>
      <c r="DY5" s="80">
        <v>99</v>
      </c>
      <c r="DZ5" s="78">
        <v>4.34</v>
      </c>
      <c r="EA5" s="80">
        <v>82</v>
      </c>
      <c r="EB5" s="78">
        <v>4.62</v>
      </c>
      <c r="EC5" s="80">
        <v>101</v>
      </c>
      <c r="ED5" s="81">
        <v>0.5</v>
      </c>
      <c r="EE5" s="80">
        <v>96</v>
      </c>
      <c r="EF5" s="78">
        <v>4.43</v>
      </c>
      <c r="EG5" s="80">
        <v>102</v>
      </c>
      <c r="EH5" s="78">
        <v>2.7</v>
      </c>
      <c r="EI5" s="80">
        <v>92</v>
      </c>
      <c r="EJ5" s="78">
        <v>3.98</v>
      </c>
      <c r="EK5" s="80">
        <v>96</v>
      </c>
      <c r="EL5" s="78">
        <v>3.66</v>
      </c>
      <c r="EM5" s="80">
        <v>84</v>
      </c>
      <c r="EN5" s="78">
        <v>4.59</v>
      </c>
      <c r="HA5" s="80">
        <v>65</v>
      </c>
      <c r="HB5" s="78">
        <v>2.91</v>
      </c>
      <c r="HC5" s="80">
        <v>50</v>
      </c>
      <c r="HD5" s="78">
        <v>2.81</v>
      </c>
      <c r="HY5" s="80">
        <v>4</v>
      </c>
      <c r="HZ5" s="78">
        <v>1.32</v>
      </c>
      <c r="IA5" s="80">
        <v>6</v>
      </c>
      <c r="IB5" s="78">
        <v>1.24</v>
      </c>
      <c r="IC5" s="80">
        <v>2</v>
      </c>
      <c r="ID5" s="78">
        <v>0.48</v>
      </c>
      <c r="IE5" s="80">
        <v>5</v>
      </c>
      <c r="IF5" s="78">
        <v>1.1100000000000001</v>
      </c>
      <c r="IG5" s="80">
        <v>8</v>
      </c>
      <c r="IH5" s="78">
        <v>1.22</v>
      </c>
      <c r="II5" s="80">
        <v>11</v>
      </c>
      <c r="IJ5" s="78">
        <v>2.06</v>
      </c>
      <c r="IK5" s="80">
        <v>14</v>
      </c>
      <c r="IL5" s="78">
        <v>2.2599999999999998</v>
      </c>
      <c r="IM5" s="80">
        <v>22</v>
      </c>
      <c r="IN5" s="78">
        <v>3.56</v>
      </c>
      <c r="JE5" s="80">
        <v>10</v>
      </c>
      <c r="JF5" s="78">
        <v>1.7</v>
      </c>
      <c r="JG5" s="80">
        <v>14</v>
      </c>
      <c r="JH5" s="78">
        <v>1.76</v>
      </c>
      <c r="JI5" s="80">
        <v>6</v>
      </c>
      <c r="JJ5" s="78">
        <v>1.31</v>
      </c>
      <c r="JK5" s="80">
        <v>15</v>
      </c>
      <c r="JL5" s="78">
        <v>2.46</v>
      </c>
      <c r="JM5" s="80">
        <v>16</v>
      </c>
      <c r="JN5" s="78">
        <v>2.8</v>
      </c>
      <c r="JO5" s="80">
        <v>29</v>
      </c>
      <c r="JP5" s="78">
        <v>3.96</v>
      </c>
      <c r="JU5" s="73" t="s">
        <v>252</v>
      </c>
    </row>
    <row r="6" spans="1:281" s="97" customFormat="1" ht="20" customHeight="1" x14ac:dyDescent="0.2">
      <c r="A6" s="95"/>
      <c r="B6" s="96"/>
      <c r="C6" s="96"/>
      <c r="D6" s="96"/>
      <c r="J6" s="96"/>
      <c r="L6" s="98"/>
      <c r="N6" s="96"/>
      <c r="P6" s="99"/>
      <c r="Q6" s="99"/>
      <c r="R6" s="99"/>
      <c r="S6" s="99"/>
      <c r="T6" s="99"/>
      <c r="U6" s="99"/>
      <c r="V6" s="96"/>
      <c r="W6" s="96"/>
      <c r="X6" s="96"/>
      <c r="Y6" s="96"/>
      <c r="Z6" s="96"/>
      <c r="AB6" s="96"/>
      <c r="AC6" s="96"/>
      <c r="AD6" s="96"/>
      <c r="AF6" s="96"/>
      <c r="AG6" s="96"/>
      <c r="AH6" s="96"/>
      <c r="AK6" s="96"/>
      <c r="AM6" s="96"/>
      <c r="AN6" s="96"/>
      <c r="AO6" s="96"/>
      <c r="AP6" s="96"/>
      <c r="AQ6" s="96"/>
      <c r="AR6" s="96"/>
      <c r="AS6" s="96"/>
      <c r="AT6" s="96"/>
      <c r="AU6" s="96"/>
      <c r="AV6" s="96"/>
      <c r="AX6" s="96"/>
      <c r="AY6" s="96"/>
      <c r="BB6" s="96"/>
      <c r="BK6" s="96"/>
      <c r="BP6" s="96"/>
      <c r="BR6" s="96"/>
      <c r="CG6" s="96"/>
      <c r="CH6" s="96"/>
      <c r="CJ6" s="96"/>
      <c r="CN6" s="96"/>
      <c r="CO6" s="96"/>
      <c r="CP6" s="96"/>
      <c r="CX6" s="96"/>
      <c r="CY6" s="96"/>
      <c r="DH6" s="96"/>
      <c r="DO6" s="96"/>
      <c r="DP6" s="96"/>
      <c r="DQ6" s="96"/>
      <c r="DR6" s="96"/>
      <c r="JM6" s="100"/>
      <c r="JN6" s="100"/>
    </row>
    <row r="7" spans="1:281" s="85" customFormat="1" ht="20" customHeight="1" x14ac:dyDescent="0.2">
      <c r="A7" s="83">
        <v>283</v>
      </c>
      <c r="B7" s="84" t="s">
        <v>665</v>
      </c>
      <c r="C7" s="84" t="s">
        <v>263</v>
      </c>
      <c r="D7" s="84" t="s">
        <v>231</v>
      </c>
      <c r="E7" s="85">
        <v>3</v>
      </c>
      <c r="F7" s="84" t="s">
        <v>239</v>
      </c>
      <c r="G7" s="84" t="s">
        <v>237</v>
      </c>
      <c r="H7" s="84">
        <v>33657474</v>
      </c>
      <c r="I7" s="84" t="s">
        <v>840</v>
      </c>
      <c r="J7" s="84" t="s">
        <v>255</v>
      </c>
      <c r="K7" s="85">
        <v>2021</v>
      </c>
      <c r="L7" s="86" t="s">
        <v>256</v>
      </c>
      <c r="N7" s="85" t="s">
        <v>264</v>
      </c>
      <c r="O7" s="84" t="s">
        <v>265</v>
      </c>
      <c r="P7" s="87" t="s">
        <v>817</v>
      </c>
      <c r="Q7" s="87" t="s">
        <v>817</v>
      </c>
      <c r="R7" s="87"/>
      <c r="S7" s="87"/>
      <c r="T7" s="87"/>
      <c r="U7" s="87"/>
      <c r="V7" s="85" t="s">
        <v>236</v>
      </c>
      <c r="W7" s="85" t="s">
        <v>237</v>
      </c>
      <c r="X7" s="85" t="s">
        <v>266</v>
      </c>
      <c r="Y7" s="85" t="s">
        <v>828</v>
      </c>
      <c r="Z7" s="85" t="s">
        <v>240</v>
      </c>
      <c r="AB7" s="85" t="s">
        <v>237</v>
      </c>
      <c r="AC7" s="84" t="s">
        <v>912</v>
      </c>
      <c r="AD7" s="85" t="s">
        <v>239</v>
      </c>
      <c r="AE7" s="85" t="s">
        <v>267</v>
      </c>
      <c r="AF7" s="85" t="s">
        <v>239</v>
      </c>
      <c r="AG7" s="85" t="s">
        <v>240</v>
      </c>
      <c r="AH7" s="85" t="s">
        <v>239</v>
      </c>
      <c r="AI7" s="85">
        <v>68</v>
      </c>
      <c r="AK7" s="85" t="s">
        <v>239</v>
      </c>
      <c r="AL7" s="85">
        <v>2000</v>
      </c>
      <c r="AM7" s="85" t="s">
        <v>259</v>
      </c>
      <c r="AN7" s="84" t="s">
        <v>268</v>
      </c>
      <c r="AO7" s="84"/>
      <c r="AP7" s="84"/>
      <c r="AQ7" s="84"/>
      <c r="AR7" s="85">
        <v>128</v>
      </c>
      <c r="AS7" s="84"/>
      <c r="AT7" s="84"/>
      <c r="AU7" s="84"/>
      <c r="AV7" s="84"/>
      <c r="AX7" s="84" t="s">
        <v>244</v>
      </c>
      <c r="AY7" s="85" t="s">
        <v>245</v>
      </c>
      <c r="BB7" s="84" t="s">
        <v>269</v>
      </c>
      <c r="BC7" s="88">
        <v>6.92</v>
      </c>
      <c r="BD7" s="88">
        <v>3.48</v>
      </c>
      <c r="BE7" s="88"/>
      <c r="BF7" s="88">
        <v>6.77</v>
      </c>
      <c r="BG7" s="88">
        <v>2.0299999999999998</v>
      </c>
      <c r="BH7" s="88"/>
      <c r="BI7" s="88">
        <v>0.84</v>
      </c>
      <c r="BJ7" s="85">
        <v>2</v>
      </c>
      <c r="BK7" s="89" t="str">
        <f t="shared" ref="BK7:BK10" si="7">IF(BC7&gt;BF7,"Case_greater_than_control","Control_greater_than_case")</f>
        <v>Case_greater_than_control</v>
      </c>
      <c r="BN7" s="88">
        <v>0.04</v>
      </c>
      <c r="BO7" s="85" t="s">
        <v>270</v>
      </c>
      <c r="BP7" s="85" t="s">
        <v>240</v>
      </c>
      <c r="BR7" s="85" t="s">
        <v>262</v>
      </c>
      <c r="CG7" s="85" t="s">
        <v>237</v>
      </c>
      <c r="CH7" s="85" t="s">
        <v>239</v>
      </c>
      <c r="CI7" s="85" t="s">
        <v>271</v>
      </c>
      <c r="CJ7" s="85" t="s">
        <v>239</v>
      </c>
      <c r="CK7" s="85" t="s">
        <v>272</v>
      </c>
      <c r="CL7" s="85">
        <v>24</v>
      </c>
      <c r="CM7" s="85">
        <v>16</v>
      </c>
      <c r="CN7" s="85" t="s">
        <v>249</v>
      </c>
      <c r="CO7" s="89" t="s">
        <v>249</v>
      </c>
      <c r="CP7" s="89" t="s">
        <v>249</v>
      </c>
      <c r="CQ7" s="89" t="s">
        <v>273</v>
      </c>
      <c r="CR7" s="90" t="s">
        <v>274</v>
      </c>
      <c r="CS7" s="88">
        <v>7.7</v>
      </c>
      <c r="CT7" s="88">
        <v>1.04</v>
      </c>
      <c r="CU7" s="91">
        <v>39.270000000000003</v>
      </c>
      <c r="CV7" s="91">
        <v>8.69</v>
      </c>
      <c r="CW7" s="91">
        <v>38.33</v>
      </c>
      <c r="CX7" s="88">
        <v>9.6999999999999993</v>
      </c>
      <c r="CY7" s="92">
        <f t="shared" si="1"/>
        <v>38.893999999999998</v>
      </c>
      <c r="CZ7" s="93">
        <f t="shared" ref="CZ7:CZ10" si="8">IF(OR(CY7="",CV7="",CX7=""),"",SQRT(((CL7-1)*(CV7^2) + (CM7-1)*(CX7^2) + CL7*(CU7-CY7)^2 + CM7*(CW7-CY7)^2) / (CL7+CM7-1)))</f>
        <v>8.9967271257029342</v>
      </c>
      <c r="DA7" s="85">
        <v>23</v>
      </c>
      <c r="DB7" s="94">
        <f t="shared" ref="DB7:DB10" si="9">IF(DA7="","",(DA7/CL7)*100)</f>
        <v>95.833333333333343</v>
      </c>
      <c r="DC7" s="91"/>
      <c r="DE7" s="93" t="str">
        <f t="shared" ref="DE7:DE10" si="10">IF(AND(DA7&lt;&gt;"",DC7&lt;&gt;""),(DA7+DC7)/(CL7+CM7)*100,
   IF(AND(DB7&lt;&gt;"",DD7&lt;&gt;""),(DB7*CL7 + DD7*CM7)/(CL7+CM7),
   ""))</f>
        <v/>
      </c>
      <c r="DG7" s="90">
        <f t="shared" si="5"/>
        <v>40</v>
      </c>
      <c r="DH7" s="85" t="s">
        <v>237</v>
      </c>
      <c r="DI7" s="85">
        <v>0</v>
      </c>
      <c r="DJ7" s="85">
        <v>100</v>
      </c>
      <c r="DK7" s="84" t="s">
        <v>239</v>
      </c>
      <c r="DL7" s="84" t="s">
        <v>275</v>
      </c>
      <c r="DM7" s="85" t="s">
        <v>251</v>
      </c>
      <c r="DN7" s="89" t="s">
        <v>251</v>
      </c>
      <c r="DO7" s="85" t="s">
        <v>239</v>
      </c>
      <c r="DS7" s="88">
        <v>2.39</v>
      </c>
      <c r="DT7" s="91">
        <v>0.36</v>
      </c>
      <c r="EC7" s="88">
        <v>101.15</v>
      </c>
      <c r="ED7" s="88">
        <v>1.86</v>
      </c>
      <c r="EE7" s="88">
        <v>95.15</v>
      </c>
      <c r="EF7" s="88">
        <v>15.77</v>
      </c>
      <c r="EG7" s="88">
        <v>102</v>
      </c>
      <c r="EH7" s="88">
        <v>9.73</v>
      </c>
      <c r="EI7" s="88">
        <v>92.3</v>
      </c>
      <c r="EJ7" s="88">
        <v>15</v>
      </c>
      <c r="EK7" s="88">
        <v>96.31</v>
      </c>
      <c r="EL7" s="88">
        <v>13.2</v>
      </c>
      <c r="EM7" s="88">
        <v>84.95</v>
      </c>
      <c r="EN7" s="88">
        <v>18.559999999999999</v>
      </c>
      <c r="HY7" s="88">
        <v>3.38</v>
      </c>
      <c r="HZ7" s="88">
        <v>3.4</v>
      </c>
      <c r="IA7" s="88">
        <v>5.3</v>
      </c>
      <c r="IB7" s="88">
        <v>4.6399999999999997</v>
      </c>
      <c r="IC7" s="88">
        <v>1.69</v>
      </c>
      <c r="ID7" s="88">
        <v>1.26</v>
      </c>
      <c r="IE7" s="88">
        <v>5.5</v>
      </c>
      <c r="IF7" s="88">
        <v>4.24</v>
      </c>
      <c r="IG7" s="88">
        <v>8</v>
      </c>
      <c r="IH7" s="88">
        <v>4.3899999999999997</v>
      </c>
      <c r="II7" s="88">
        <v>10.94</v>
      </c>
      <c r="IJ7" s="88">
        <v>7.87</v>
      </c>
      <c r="JE7" s="88">
        <v>9.92</v>
      </c>
      <c r="JF7" s="88">
        <v>6.15</v>
      </c>
      <c r="JG7" s="88">
        <v>15.85</v>
      </c>
      <c r="JH7" s="88">
        <v>7.28</v>
      </c>
      <c r="JI7" s="88">
        <v>6.38</v>
      </c>
      <c r="JJ7" s="88">
        <v>4.7</v>
      </c>
      <c r="JK7" s="88">
        <v>15.3</v>
      </c>
      <c r="JL7" s="88">
        <v>8.4499999999999993</v>
      </c>
      <c r="JM7" s="88">
        <v>16.309999999999999</v>
      </c>
      <c r="JN7" s="88">
        <v>10.1</v>
      </c>
      <c r="JO7" s="85">
        <v>31.15</v>
      </c>
      <c r="JP7" s="85">
        <v>14.03</v>
      </c>
      <c r="JU7" s="84" t="s">
        <v>252</v>
      </c>
    </row>
    <row r="8" spans="1:281" s="8" customFormat="1" ht="20" customHeight="1" x14ac:dyDescent="0.2">
      <c r="A8" s="35">
        <v>283</v>
      </c>
      <c r="B8" s="7" t="s">
        <v>666</v>
      </c>
      <c r="C8" s="7" t="s">
        <v>263</v>
      </c>
      <c r="D8" s="7" t="s">
        <v>231</v>
      </c>
      <c r="E8" s="8">
        <v>3</v>
      </c>
      <c r="F8" s="7" t="s">
        <v>237</v>
      </c>
      <c r="G8" s="7" t="s">
        <v>237</v>
      </c>
      <c r="H8" s="7">
        <v>33657474</v>
      </c>
      <c r="I8" s="7" t="s">
        <v>840</v>
      </c>
      <c r="J8" s="8" t="s">
        <v>255</v>
      </c>
      <c r="K8" s="8">
        <v>2021</v>
      </c>
      <c r="L8" s="9" t="s">
        <v>256</v>
      </c>
      <c r="N8" s="8" t="s">
        <v>264</v>
      </c>
      <c r="O8" s="7" t="s">
        <v>265</v>
      </c>
      <c r="P8" s="36" t="s">
        <v>817</v>
      </c>
      <c r="Q8" s="36" t="s">
        <v>817</v>
      </c>
      <c r="R8" s="36"/>
      <c r="S8" s="36"/>
      <c r="T8" s="36"/>
      <c r="U8" s="36"/>
      <c r="V8" s="8" t="s">
        <v>236</v>
      </c>
      <c r="W8" s="8" t="s">
        <v>237</v>
      </c>
      <c r="X8" s="8" t="s">
        <v>266</v>
      </c>
      <c r="Y8" s="8" t="s">
        <v>828</v>
      </c>
      <c r="Z8" s="8" t="s">
        <v>240</v>
      </c>
      <c r="AB8" s="8" t="s">
        <v>237</v>
      </c>
      <c r="AC8" s="7" t="s">
        <v>912</v>
      </c>
      <c r="AD8" s="8" t="s">
        <v>239</v>
      </c>
      <c r="AE8" s="8" t="s">
        <v>267</v>
      </c>
      <c r="AF8" s="8" t="s">
        <v>239</v>
      </c>
      <c r="AG8" s="8" t="s">
        <v>240</v>
      </c>
      <c r="AH8" s="8" t="s">
        <v>239</v>
      </c>
      <c r="AI8" s="8">
        <v>68</v>
      </c>
      <c r="AK8" s="8" t="s">
        <v>239</v>
      </c>
      <c r="AL8" s="8">
        <v>2000</v>
      </c>
      <c r="AM8" s="8" t="s">
        <v>259</v>
      </c>
      <c r="AN8" s="7" t="s">
        <v>268</v>
      </c>
      <c r="AO8" s="7"/>
      <c r="AP8" s="7"/>
      <c r="AQ8" s="7"/>
      <c r="AR8" s="8">
        <v>128</v>
      </c>
      <c r="AS8" s="7"/>
      <c r="AT8" s="7"/>
      <c r="AU8" s="7"/>
      <c r="AV8" s="7"/>
      <c r="AX8" s="7" t="s">
        <v>244</v>
      </c>
      <c r="AY8" s="8" t="s">
        <v>277</v>
      </c>
      <c r="AZ8" s="8" t="s">
        <v>276</v>
      </c>
      <c r="BB8" s="7" t="s">
        <v>269</v>
      </c>
      <c r="BC8" s="11">
        <v>3.72</v>
      </c>
      <c r="BD8" s="11">
        <v>1.51</v>
      </c>
      <c r="BE8" s="11"/>
      <c r="BF8" s="11">
        <v>3.98</v>
      </c>
      <c r="BG8" s="11">
        <v>1.4</v>
      </c>
      <c r="BH8" s="11"/>
      <c r="BI8" s="11">
        <v>0.63</v>
      </c>
      <c r="BJ8" s="8">
        <v>2</v>
      </c>
      <c r="BK8" s="5" t="str">
        <f t="shared" si="7"/>
        <v>Control_greater_than_case</v>
      </c>
      <c r="BN8" s="11">
        <v>0.23</v>
      </c>
      <c r="BO8" s="8" t="s">
        <v>278</v>
      </c>
      <c r="BP8" s="8" t="s">
        <v>240</v>
      </c>
      <c r="BR8" s="8" t="s">
        <v>262</v>
      </c>
      <c r="CG8" s="8" t="s">
        <v>237</v>
      </c>
      <c r="CH8" s="8" t="s">
        <v>239</v>
      </c>
      <c r="CI8" s="8" t="s">
        <v>271</v>
      </c>
      <c r="CJ8" s="8" t="s">
        <v>239</v>
      </c>
      <c r="CK8" s="8" t="s">
        <v>272</v>
      </c>
      <c r="CL8" s="8">
        <v>24</v>
      </c>
      <c r="CM8" s="8">
        <v>16</v>
      </c>
      <c r="CN8" s="8" t="s">
        <v>249</v>
      </c>
      <c r="CO8" s="5" t="s">
        <v>249</v>
      </c>
      <c r="CP8" s="5" t="s">
        <v>249</v>
      </c>
      <c r="CQ8" s="5" t="s">
        <v>273</v>
      </c>
      <c r="CR8" s="6" t="s">
        <v>274</v>
      </c>
      <c r="CS8" s="11">
        <v>7.7</v>
      </c>
      <c r="CT8" s="11">
        <v>1.04</v>
      </c>
      <c r="CU8" s="38">
        <v>39.270000000000003</v>
      </c>
      <c r="CV8" s="38">
        <v>8.69</v>
      </c>
      <c r="CW8" s="38">
        <v>38.33</v>
      </c>
      <c r="CX8" s="11">
        <v>9.6999999999999993</v>
      </c>
      <c r="CY8" s="39">
        <f t="shared" si="1"/>
        <v>38.893999999999998</v>
      </c>
      <c r="CZ8" s="28">
        <f t="shared" si="8"/>
        <v>8.9967271257029342</v>
      </c>
      <c r="DA8" s="8">
        <v>23</v>
      </c>
      <c r="DB8" s="29">
        <f t="shared" si="9"/>
        <v>95.833333333333343</v>
      </c>
      <c r="DC8" s="38"/>
      <c r="DE8" s="28" t="str">
        <f t="shared" si="10"/>
        <v/>
      </c>
      <c r="DG8" s="6">
        <f t="shared" si="5"/>
        <v>40</v>
      </c>
      <c r="DH8" s="8" t="s">
        <v>237</v>
      </c>
      <c r="DI8" s="8">
        <v>0</v>
      </c>
      <c r="DJ8" s="8">
        <v>100</v>
      </c>
      <c r="DK8" s="7" t="s">
        <v>239</v>
      </c>
      <c r="DL8" s="7" t="s">
        <v>275</v>
      </c>
      <c r="DM8" s="8" t="s">
        <v>251</v>
      </c>
      <c r="DN8" s="5" t="s">
        <v>251</v>
      </c>
      <c r="DO8" s="8" t="s">
        <v>239</v>
      </c>
      <c r="DS8" s="11">
        <v>2.39</v>
      </c>
      <c r="DT8" s="38">
        <v>0.36</v>
      </c>
      <c r="EC8" s="11">
        <v>101.15</v>
      </c>
      <c r="ED8" s="11">
        <v>1.86</v>
      </c>
      <c r="EE8" s="11">
        <v>95.15</v>
      </c>
      <c r="EF8" s="11">
        <v>15.77</v>
      </c>
      <c r="EG8" s="11">
        <v>102</v>
      </c>
      <c r="EH8" s="11">
        <v>9.73</v>
      </c>
      <c r="EI8" s="11">
        <v>92.3</v>
      </c>
      <c r="EJ8" s="11">
        <v>15</v>
      </c>
      <c r="EK8" s="11">
        <v>96.31</v>
      </c>
      <c r="EL8" s="11">
        <v>13.2</v>
      </c>
      <c r="EM8" s="11">
        <v>84.95</v>
      </c>
      <c r="EN8" s="11">
        <v>18.559999999999999</v>
      </c>
      <c r="HY8" s="11">
        <v>3.38</v>
      </c>
      <c r="HZ8" s="11">
        <v>3.4</v>
      </c>
      <c r="IA8" s="11">
        <v>5.3</v>
      </c>
      <c r="IB8" s="11">
        <v>4.6399999999999997</v>
      </c>
      <c r="IC8" s="11">
        <v>1.69</v>
      </c>
      <c r="ID8" s="11">
        <v>1.26</v>
      </c>
      <c r="IE8" s="11">
        <v>5.5</v>
      </c>
      <c r="IF8" s="11">
        <v>4.24</v>
      </c>
      <c r="IG8" s="11">
        <v>8</v>
      </c>
      <c r="IH8" s="11">
        <v>4.3899999999999997</v>
      </c>
      <c r="II8" s="11">
        <v>10.94</v>
      </c>
      <c r="IJ8" s="11">
        <v>7.87</v>
      </c>
      <c r="JE8" s="11">
        <v>9.92</v>
      </c>
      <c r="JF8" s="11">
        <v>6.15</v>
      </c>
      <c r="JG8" s="11">
        <v>15.85</v>
      </c>
      <c r="JH8" s="11">
        <v>7.28</v>
      </c>
      <c r="JI8" s="11">
        <v>6.38</v>
      </c>
      <c r="JJ8" s="11">
        <v>4.7</v>
      </c>
      <c r="JK8" s="11">
        <v>15.3</v>
      </c>
      <c r="JL8" s="11">
        <v>8.4499999999999993</v>
      </c>
      <c r="JM8" s="11">
        <v>16.309999999999999</v>
      </c>
      <c r="JN8" s="11">
        <v>10.1</v>
      </c>
      <c r="JO8" s="8">
        <v>31.15</v>
      </c>
      <c r="JP8" s="8">
        <v>14.03</v>
      </c>
      <c r="JU8" s="7" t="s">
        <v>252</v>
      </c>
    </row>
    <row r="9" spans="1:281" s="8" customFormat="1" ht="20" customHeight="1" x14ac:dyDescent="0.2">
      <c r="A9" s="35">
        <v>283</v>
      </c>
      <c r="B9" s="7" t="s">
        <v>667</v>
      </c>
      <c r="C9" s="7" t="s">
        <v>263</v>
      </c>
      <c r="D9" s="7" t="s">
        <v>231</v>
      </c>
      <c r="E9" s="8">
        <v>3</v>
      </c>
      <c r="F9" s="7" t="s">
        <v>239</v>
      </c>
      <c r="G9" s="7" t="s">
        <v>237</v>
      </c>
      <c r="H9" s="7">
        <v>33657474</v>
      </c>
      <c r="I9" s="7" t="s">
        <v>840</v>
      </c>
      <c r="J9" s="8" t="s">
        <v>255</v>
      </c>
      <c r="K9" s="8">
        <v>2021</v>
      </c>
      <c r="L9" s="9" t="s">
        <v>256</v>
      </c>
      <c r="N9" s="8" t="s">
        <v>264</v>
      </c>
      <c r="O9" s="7" t="s">
        <v>279</v>
      </c>
      <c r="P9" s="36" t="s">
        <v>818</v>
      </c>
      <c r="Q9" s="36" t="s">
        <v>817</v>
      </c>
      <c r="R9" s="36"/>
      <c r="S9" s="36"/>
      <c r="T9" s="36"/>
      <c r="U9" s="36"/>
      <c r="V9" s="8" t="s">
        <v>236</v>
      </c>
      <c r="W9" s="8" t="s">
        <v>237</v>
      </c>
      <c r="X9" s="8" t="s">
        <v>266</v>
      </c>
      <c r="Y9" s="8" t="s">
        <v>828</v>
      </c>
      <c r="Z9" s="8" t="s">
        <v>240</v>
      </c>
      <c r="AB9" s="8" t="s">
        <v>237</v>
      </c>
      <c r="AC9" s="7" t="s">
        <v>913</v>
      </c>
      <c r="AD9" s="8" t="s">
        <v>239</v>
      </c>
      <c r="AE9" s="8" t="s">
        <v>267</v>
      </c>
      <c r="AF9" s="8" t="s">
        <v>239</v>
      </c>
      <c r="AG9" s="8" t="s">
        <v>240</v>
      </c>
      <c r="AH9" s="8" t="s">
        <v>239</v>
      </c>
      <c r="AI9" s="8">
        <v>68</v>
      </c>
      <c r="AK9" s="8" t="s">
        <v>239</v>
      </c>
      <c r="AL9" s="8">
        <v>2000</v>
      </c>
      <c r="AM9" s="8" t="s">
        <v>259</v>
      </c>
      <c r="AN9" s="7" t="s">
        <v>280</v>
      </c>
      <c r="AO9" s="7"/>
      <c r="AP9" s="7"/>
      <c r="AQ9" s="7"/>
      <c r="AR9" s="8">
        <v>128</v>
      </c>
      <c r="AS9" s="7"/>
      <c r="AT9" s="7"/>
      <c r="AU9" s="7"/>
      <c r="AV9" s="7"/>
      <c r="AX9" s="7" t="s">
        <v>244</v>
      </c>
      <c r="AY9" s="8" t="s">
        <v>245</v>
      </c>
      <c r="BB9" s="7" t="s">
        <v>269</v>
      </c>
      <c r="BC9" s="11">
        <v>4.92</v>
      </c>
      <c r="BD9" s="11">
        <v>1.6</v>
      </c>
      <c r="BE9" s="11"/>
      <c r="BF9" s="11">
        <v>6.03</v>
      </c>
      <c r="BG9" s="11">
        <v>1.48</v>
      </c>
      <c r="BH9" s="11"/>
      <c r="BI9" s="11">
        <v>0.04</v>
      </c>
      <c r="BJ9" s="8">
        <v>2</v>
      </c>
      <c r="BK9" s="5" t="str">
        <f t="shared" si="7"/>
        <v>Control_greater_than_case</v>
      </c>
      <c r="BN9" s="11">
        <v>4.26</v>
      </c>
      <c r="BO9" s="8" t="s">
        <v>278</v>
      </c>
      <c r="BP9" s="8" t="s">
        <v>240</v>
      </c>
      <c r="BR9" s="8" t="s">
        <v>262</v>
      </c>
      <c r="CG9" s="8" t="s">
        <v>237</v>
      </c>
      <c r="CH9" s="8" t="s">
        <v>239</v>
      </c>
      <c r="CI9" s="8" t="s">
        <v>271</v>
      </c>
      <c r="CJ9" s="8" t="s">
        <v>239</v>
      </c>
      <c r="CK9" s="8" t="s">
        <v>272</v>
      </c>
      <c r="CL9" s="8">
        <v>24</v>
      </c>
      <c r="CM9" s="8">
        <v>16</v>
      </c>
      <c r="CN9" s="8" t="s">
        <v>249</v>
      </c>
      <c r="CO9" s="5" t="s">
        <v>249</v>
      </c>
      <c r="CP9" s="5" t="s">
        <v>249</v>
      </c>
      <c r="CQ9" s="5" t="s">
        <v>273</v>
      </c>
      <c r="CR9" s="6" t="s">
        <v>274</v>
      </c>
      <c r="CS9" s="11">
        <v>7.7</v>
      </c>
      <c r="CT9" s="11">
        <v>1.04</v>
      </c>
      <c r="CU9" s="38">
        <v>39.270000000000003</v>
      </c>
      <c r="CV9" s="38">
        <v>8.69</v>
      </c>
      <c r="CW9" s="38">
        <v>38.33</v>
      </c>
      <c r="CX9" s="11">
        <v>9.6999999999999993</v>
      </c>
      <c r="CY9" s="39">
        <f t="shared" si="1"/>
        <v>38.893999999999998</v>
      </c>
      <c r="CZ9" s="28">
        <f t="shared" si="8"/>
        <v>8.9967271257029342</v>
      </c>
      <c r="DA9" s="8">
        <v>23</v>
      </c>
      <c r="DB9" s="29">
        <f t="shared" si="9"/>
        <v>95.833333333333343</v>
      </c>
      <c r="DC9" s="38"/>
      <c r="DE9" s="28" t="str">
        <f t="shared" si="10"/>
        <v/>
      </c>
      <c r="DG9" s="6">
        <f t="shared" si="5"/>
        <v>40</v>
      </c>
      <c r="DH9" s="8" t="s">
        <v>237</v>
      </c>
      <c r="DI9" s="8">
        <v>0</v>
      </c>
      <c r="DJ9" s="8">
        <v>100</v>
      </c>
      <c r="DK9" s="7" t="s">
        <v>239</v>
      </c>
      <c r="DL9" s="7" t="s">
        <v>275</v>
      </c>
      <c r="DM9" s="8" t="s">
        <v>251</v>
      </c>
      <c r="DN9" s="5" t="s">
        <v>251</v>
      </c>
      <c r="DO9" s="8" t="s">
        <v>239</v>
      </c>
      <c r="DS9" s="11">
        <v>2.39</v>
      </c>
      <c r="DT9" s="38">
        <v>0.36</v>
      </c>
      <c r="EC9" s="11">
        <v>101.15</v>
      </c>
      <c r="ED9" s="11">
        <v>1.86</v>
      </c>
      <c r="EE9" s="11">
        <v>95.15</v>
      </c>
      <c r="EF9" s="11">
        <v>15.77</v>
      </c>
      <c r="EG9" s="11">
        <v>102</v>
      </c>
      <c r="EH9" s="11">
        <v>9.73</v>
      </c>
      <c r="EI9" s="11">
        <v>92.3</v>
      </c>
      <c r="EJ9" s="11">
        <v>15</v>
      </c>
      <c r="EK9" s="11">
        <v>96.31</v>
      </c>
      <c r="EL9" s="11">
        <v>13.2</v>
      </c>
      <c r="EM9" s="11">
        <v>84.95</v>
      </c>
      <c r="EN9" s="11">
        <v>18.559999999999999</v>
      </c>
      <c r="HY9" s="11">
        <v>3.38</v>
      </c>
      <c r="HZ9" s="11">
        <v>3.4</v>
      </c>
      <c r="IA9" s="11">
        <v>5.3</v>
      </c>
      <c r="IB9" s="11">
        <v>4.6399999999999997</v>
      </c>
      <c r="IC9" s="11">
        <v>1.69</v>
      </c>
      <c r="ID9" s="11">
        <v>1.26</v>
      </c>
      <c r="IE9" s="11">
        <v>5.5</v>
      </c>
      <c r="IF9" s="11">
        <v>4.24</v>
      </c>
      <c r="IG9" s="11">
        <v>8</v>
      </c>
      <c r="IH9" s="11">
        <v>4.3899999999999997</v>
      </c>
      <c r="II9" s="11">
        <v>10.94</v>
      </c>
      <c r="IJ9" s="11">
        <v>7.87</v>
      </c>
      <c r="JE9" s="11">
        <v>9.92</v>
      </c>
      <c r="JF9" s="11">
        <v>6.15</v>
      </c>
      <c r="JG9" s="11">
        <v>15.85</v>
      </c>
      <c r="JH9" s="11">
        <v>7.28</v>
      </c>
      <c r="JI9" s="11">
        <v>6.38</v>
      </c>
      <c r="JJ9" s="11">
        <v>4.7</v>
      </c>
      <c r="JK9" s="11">
        <v>15.3</v>
      </c>
      <c r="JL9" s="11">
        <v>8.4499999999999993</v>
      </c>
      <c r="JM9" s="11">
        <v>16.309999999999999</v>
      </c>
      <c r="JN9" s="11">
        <v>10.1</v>
      </c>
      <c r="JO9" s="8">
        <v>31.15</v>
      </c>
      <c r="JP9" s="8">
        <v>14.03</v>
      </c>
      <c r="JU9" s="7" t="s">
        <v>252</v>
      </c>
    </row>
    <row r="10" spans="1:281" s="64" customFormat="1" ht="20" customHeight="1" x14ac:dyDescent="0.2">
      <c r="A10" s="106">
        <v>283</v>
      </c>
      <c r="B10" s="71" t="s">
        <v>668</v>
      </c>
      <c r="C10" s="71" t="s">
        <v>263</v>
      </c>
      <c r="D10" s="71" t="s">
        <v>231</v>
      </c>
      <c r="E10" s="64">
        <v>3</v>
      </c>
      <c r="F10" s="71" t="s">
        <v>237</v>
      </c>
      <c r="G10" s="71" t="s">
        <v>237</v>
      </c>
      <c r="H10" s="71">
        <v>33657474</v>
      </c>
      <c r="I10" s="71" t="s">
        <v>840</v>
      </c>
      <c r="J10" s="64" t="s">
        <v>255</v>
      </c>
      <c r="K10" s="64">
        <v>2021</v>
      </c>
      <c r="L10" s="107" t="s">
        <v>256</v>
      </c>
      <c r="N10" s="64" t="s">
        <v>264</v>
      </c>
      <c r="O10" s="71" t="s">
        <v>279</v>
      </c>
      <c r="P10" s="108" t="s">
        <v>818</v>
      </c>
      <c r="Q10" s="108" t="s">
        <v>817</v>
      </c>
      <c r="R10" s="108"/>
      <c r="S10" s="108"/>
      <c r="T10" s="108"/>
      <c r="U10" s="108"/>
      <c r="V10" s="64" t="s">
        <v>236</v>
      </c>
      <c r="W10" s="64" t="s">
        <v>237</v>
      </c>
      <c r="X10" s="64" t="s">
        <v>266</v>
      </c>
      <c r="Y10" s="64" t="s">
        <v>828</v>
      </c>
      <c r="Z10" s="64" t="s">
        <v>240</v>
      </c>
      <c r="AB10" s="64" t="s">
        <v>237</v>
      </c>
      <c r="AC10" s="71" t="s">
        <v>913</v>
      </c>
      <c r="AD10" s="64" t="s">
        <v>239</v>
      </c>
      <c r="AE10" s="64" t="s">
        <v>267</v>
      </c>
      <c r="AF10" s="64" t="s">
        <v>239</v>
      </c>
      <c r="AG10" s="64" t="s">
        <v>240</v>
      </c>
      <c r="AH10" s="64" t="s">
        <v>239</v>
      </c>
      <c r="AI10" s="64">
        <v>68</v>
      </c>
      <c r="AK10" s="64" t="s">
        <v>239</v>
      </c>
      <c r="AL10" s="64">
        <v>2000</v>
      </c>
      <c r="AM10" s="64" t="s">
        <v>259</v>
      </c>
      <c r="AN10" s="71" t="s">
        <v>280</v>
      </c>
      <c r="AO10" s="71"/>
      <c r="AP10" s="71"/>
      <c r="AQ10" s="71"/>
      <c r="AR10" s="64">
        <v>128</v>
      </c>
      <c r="AS10" s="71"/>
      <c r="AT10" s="71"/>
      <c r="AU10" s="71"/>
      <c r="AV10" s="71"/>
      <c r="AX10" s="71" t="s">
        <v>244</v>
      </c>
      <c r="AY10" s="64" t="s">
        <v>277</v>
      </c>
      <c r="AZ10" s="64" t="s">
        <v>276</v>
      </c>
      <c r="BB10" s="71" t="s">
        <v>269</v>
      </c>
      <c r="BC10" s="65">
        <v>2.9</v>
      </c>
      <c r="BD10" s="65">
        <v>0.48</v>
      </c>
      <c r="BE10" s="65"/>
      <c r="BF10" s="65">
        <v>3.14</v>
      </c>
      <c r="BG10" s="65">
        <v>0.94</v>
      </c>
      <c r="BH10" s="65"/>
      <c r="BI10" s="65">
        <v>0.41</v>
      </c>
      <c r="BJ10" s="64">
        <v>2</v>
      </c>
      <c r="BK10" s="73" t="str">
        <f t="shared" si="7"/>
        <v>Control_greater_than_case</v>
      </c>
      <c r="BN10" s="65">
        <v>0.73</v>
      </c>
      <c r="BO10" s="64" t="s">
        <v>278</v>
      </c>
      <c r="BP10" s="64" t="s">
        <v>240</v>
      </c>
      <c r="BR10" s="64" t="s">
        <v>262</v>
      </c>
      <c r="CG10" s="64" t="s">
        <v>237</v>
      </c>
      <c r="CH10" s="64" t="s">
        <v>239</v>
      </c>
      <c r="CI10" s="64" t="s">
        <v>271</v>
      </c>
      <c r="CJ10" s="64" t="s">
        <v>239</v>
      </c>
      <c r="CK10" s="64" t="s">
        <v>272</v>
      </c>
      <c r="CL10" s="64">
        <v>24</v>
      </c>
      <c r="CM10" s="64">
        <v>16</v>
      </c>
      <c r="CN10" s="64" t="s">
        <v>249</v>
      </c>
      <c r="CO10" s="73" t="s">
        <v>249</v>
      </c>
      <c r="CP10" s="73" t="s">
        <v>249</v>
      </c>
      <c r="CQ10" s="73" t="s">
        <v>273</v>
      </c>
      <c r="CR10" s="70" t="s">
        <v>274</v>
      </c>
      <c r="CS10" s="65">
        <v>7.7</v>
      </c>
      <c r="CT10" s="65">
        <v>1.04</v>
      </c>
      <c r="CU10" s="109">
        <v>39.270000000000003</v>
      </c>
      <c r="CV10" s="109">
        <v>8.69</v>
      </c>
      <c r="CW10" s="109">
        <v>38.33</v>
      </c>
      <c r="CX10" s="65">
        <v>9.6999999999999993</v>
      </c>
      <c r="CY10" s="110">
        <f t="shared" si="1"/>
        <v>38.893999999999998</v>
      </c>
      <c r="CZ10" s="80">
        <f t="shared" si="8"/>
        <v>8.9967271257029342</v>
      </c>
      <c r="DA10" s="64">
        <v>23</v>
      </c>
      <c r="DB10" s="81">
        <f t="shared" si="9"/>
        <v>95.833333333333343</v>
      </c>
      <c r="DC10" s="109"/>
      <c r="DE10" s="80" t="str">
        <f t="shared" si="10"/>
        <v/>
      </c>
      <c r="DG10" s="70">
        <f t="shared" si="5"/>
        <v>40</v>
      </c>
      <c r="DH10" s="64" t="s">
        <v>237</v>
      </c>
      <c r="DI10" s="64">
        <v>0</v>
      </c>
      <c r="DJ10" s="64">
        <v>100</v>
      </c>
      <c r="DK10" s="71" t="s">
        <v>239</v>
      </c>
      <c r="DL10" s="71" t="s">
        <v>275</v>
      </c>
      <c r="DM10" s="64" t="s">
        <v>251</v>
      </c>
      <c r="DN10" s="73" t="s">
        <v>251</v>
      </c>
      <c r="DO10" s="64" t="s">
        <v>239</v>
      </c>
      <c r="DS10" s="65">
        <v>2.39</v>
      </c>
      <c r="DT10" s="109">
        <v>0.36</v>
      </c>
      <c r="EC10" s="65">
        <v>101.15</v>
      </c>
      <c r="ED10" s="65">
        <v>1.86</v>
      </c>
      <c r="EE10" s="65">
        <v>95.15</v>
      </c>
      <c r="EF10" s="65">
        <v>15.77</v>
      </c>
      <c r="EG10" s="65">
        <v>102</v>
      </c>
      <c r="EH10" s="65">
        <v>9.73</v>
      </c>
      <c r="EI10" s="65">
        <v>92.3</v>
      </c>
      <c r="EJ10" s="65">
        <v>15</v>
      </c>
      <c r="EK10" s="65">
        <v>96.31</v>
      </c>
      <c r="EL10" s="65">
        <v>13.2</v>
      </c>
      <c r="EM10" s="65">
        <v>84.95</v>
      </c>
      <c r="EN10" s="65">
        <v>18.559999999999999</v>
      </c>
      <c r="HY10" s="65">
        <v>3.38</v>
      </c>
      <c r="HZ10" s="65">
        <v>3.4</v>
      </c>
      <c r="IA10" s="65">
        <v>5.3</v>
      </c>
      <c r="IB10" s="65">
        <v>4.6399999999999997</v>
      </c>
      <c r="IC10" s="65">
        <v>1.69</v>
      </c>
      <c r="ID10" s="65">
        <v>1.26</v>
      </c>
      <c r="IE10" s="65">
        <v>5.5</v>
      </c>
      <c r="IF10" s="65">
        <v>4.24</v>
      </c>
      <c r="IG10" s="65">
        <v>8</v>
      </c>
      <c r="IH10" s="65">
        <v>4.3899999999999997</v>
      </c>
      <c r="II10" s="65">
        <v>10.94</v>
      </c>
      <c r="IJ10" s="65">
        <v>7.87</v>
      </c>
      <c r="JE10" s="65">
        <v>9.92</v>
      </c>
      <c r="JF10" s="65">
        <v>6.15</v>
      </c>
      <c r="JG10" s="65">
        <v>15.85</v>
      </c>
      <c r="JH10" s="65">
        <v>7.28</v>
      </c>
      <c r="JI10" s="65">
        <v>6.38</v>
      </c>
      <c r="JJ10" s="65">
        <v>4.7</v>
      </c>
      <c r="JK10" s="65">
        <v>15.3</v>
      </c>
      <c r="JL10" s="65">
        <v>8.4499999999999993</v>
      </c>
      <c r="JM10" s="65">
        <v>16.309999999999999</v>
      </c>
      <c r="JN10" s="65">
        <v>10.1</v>
      </c>
      <c r="JO10" s="64">
        <v>31.15</v>
      </c>
      <c r="JP10" s="64">
        <v>14.03</v>
      </c>
      <c r="JU10" s="71" t="s">
        <v>252</v>
      </c>
    </row>
    <row r="11" spans="1:281" s="97" customFormat="1" ht="20" customHeight="1" x14ac:dyDescent="0.2">
      <c r="A11" s="95"/>
      <c r="C11" s="96"/>
      <c r="D11" s="96"/>
      <c r="L11" s="98"/>
      <c r="O11" s="96"/>
      <c r="P11" s="111"/>
      <c r="Q11" s="111"/>
      <c r="R11" s="111"/>
      <c r="S11" s="111"/>
      <c r="T11" s="111"/>
      <c r="U11" s="111"/>
      <c r="AS11" s="96"/>
      <c r="AT11" s="96"/>
      <c r="AU11" s="96"/>
      <c r="AV11" s="96"/>
      <c r="AX11" s="96"/>
      <c r="BB11" s="96"/>
      <c r="DT11" s="96"/>
    </row>
    <row r="12" spans="1:281" s="85" customFormat="1" ht="20" customHeight="1" x14ac:dyDescent="0.2">
      <c r="A12" s="83">
        <v>25</v>
      </c>
      <c r="B12" s="84" t="s">
        <v>669</v>
      </c>
      <c r="C12" s="85" t="s">
        <v>281</v>
      </c>
      <c r="D12" s="84" t="s">
        <v>231</v>
      </c>
      <c r="E12" s="85">
        <v>4</v>
      </c>
      <c r="F12" s="84" t="s">
        <v>239</v>
      </c>
      <c r="G12" s="84" t="s">
        <v>237</v>
      </c>
      <c r="H12" s="84">
        <v>25043416</v>
      </c>
      <c r="I12" s="84" t="s">
        <v>841</v>
      </c>
      <c r="J12" s="85" t="s">
        <v>282</v>
      </c>
      <c r="K12" s="85">
        <v>2014</v>
      </c>
      <c r="L12" s="86" t="s">
        <v>283</v>
      </c>
      <c r="M12" s="101"/>
      <c r="N12" s="85" t="s">
        <v>234</v>
      </c>
      <c r="O12" s="85" t="s">
        <v>235</v>
      </c>
      <c r="P12" s="102" t="s">
        <v>235</v>
      </c>
      <c r="Q12" s="102"/>
      <c r="R12" s="102"/>
      <c r="S12" s="102"/>
      <c r="T12" s="102"/>
      <c r="U12" s="102"/>
      <c r="V12" s="85" t="s">
        <v>236</v>
      </c>
      <c r="W12" s="85" t="s">
        <v>237</v>
      </c>
      <c r="X12" s="84" t="s">
        <v>284</v>
      </c>
      <c r="Y12" s="85" t="s">
        <v>828</v>
      </c>
      <c r="Z12" s="85" t="s">
        <v>240</v>
      </c>
      <c r="AB12" s="85" t="s">
        <v>237</v>
      </c>
      <c r="AC12" s="84" t="s">
        <v>897</v>
      </c>
      <c r="AD12" s="85" t="s">
        <v>239</v>
      </c>
      <c r="AE12" s="85" t="s">
        <v>560</v>
      </c>
      <c r="AF12" s="85" t="s">
        <v>239</v>
      </c>
      <c r="AG12" s="85" t="s">
        <v>240</v>
      </c>
      <c r="AH12" s="85" t="s">
        <v>239</v>
      </c>
      <c r="AI12" s="85">
        <v>35</v>
      </c>
      <c r="AJ12" s="85" t="s">
        <v>285</v>
      </c>
      <c r="AK12" s="85" t="s">
        <v>239</v>
      </c>
      <c r="AL12" s="85">
        <v>1000</v>
      </c>
      <c r="AM12" s="85" t="s">
        <v>241</v>
      </c>
      <c r="AN12" s="84" t="s">
        <v>286</v>
      </c>
      <c r="AO12" s="84"/>
      <c r="AP12" s="84"/>
      <c r="AQ12" s="84"/>
      <c r="AW12" s="85">
        <v>15</v>
      </c>
      <c r="AX12" s="85" t="s">
        <v>253</v>
      </c>
      <c r="AY12" s="85" t="s">
        <v>245</v>
      </c>
      <c r="BB12" s="84" t="s">
        <v>287</v>
      </c>
      <c r="BC12" s="88">
        <v>9.32</v>
      </c>
      <c r="BD12" s="88">
        <v>1.79</v>
      </c>
      <c r="BE12" s="88"/>
      <c r="BF12" s="88">
        <v>8.44</v>
      </c>
      <c r="BG12" s="88">
        <v>1.01</v>
      </c>
      <c r="BH12" s="88"/>
      <c r="BI12" s="88"/>
      <c r="BJ12" s="85">
        <v>2</v>
      </c>
      <c r="BP12" s="85" t="s">
        <v>240</v>
      </c>
      <c r="BR12" s="85" t="s">
        <v>247</v>
      </c>
      <c r="BS12" s="85" t="s">
        <v>235</v>
      </c>
      <c r="CG12" s="85" t="s">
        <v>237</v>
      </c>
      <c r="CH12" s="85" t="s">
        <v>240</v>
      </c>
      <c r="CJ12" s="85" t="s">
        <v>239</v>
      </c>
      <c r="CK12" s="85" t="s">
        <v>248</v>
      </c>
      <c r="CL12" s="85">
        <v>263</v>
      </c>
      <c r="CM12" s="85">
        <v>42</v>
      </c>
      <c r="CN12" s="85" t="s">
        <v>249</v>
      </c>
      <c r="CO12" s="85" t="s">
        <v>249</v>
      </c>
      <c r="CP12" s="85" t="s">
        <v>249</v>
      </c>
      <c r="CQ12" s="85" t="s">
        <v>288</v>
      </c>
      <c r="CR12" s="89" t="s">
        <v>289</v>
      </c>
      <c r="CS12" s="88"/>
      <c r="CT12" s="88"/>
      <c r="CU12" s="88"/>
      <c r="CV12" s="88"/>
      <c r="CW12" s="103">
        <v>40.5</v>
      </c>
      <c r="CX12" s="104">
        <v>10</v>
      </c>
      <c r="CY12" s="91"/>
      <c r="CZ12" s="93" t="str">
        <f t="shared" ref="CZ12:CZ23" si="11">IF(OR(CY12="",CV12="",CX12=""),"",SQRT(((CL12-1)*(CV12^2) + (CM12-1)*(CX12^2) + CL12*(CU12-CY12)^2 + CM12*(CW12-CY12)^2) / (CL12+CM12-1)))</f>
        <v/>
      </c>
      <c r="DB12" s="88"/>
      <c r="DC12" s="105">
        <v>26</v>
      </c>
      <c r="DD12" s="94">
        <f t="shared" ref="DD12:DD23" si="12">IF(DC12="","",(DC12/CM12)*100)</f>
        <v>61.904761904761905</v>
      </c>
      <c r="DE12" s="93" t="str">
        <f t="shared" ref="DE12:DE23" si="13">IF(AND(DA12&lt;&gt;"",DC12&lt;&gt;""),(DA12+DC12)/(CL12+CM12)*100,
   IF(AND(DB12&lt;&gt;"",DD12&lt;&gt;""),(DB12*CL12 + DD12*CM12)/(CL12+CM12),
   ""))</f>
        <v/>
      </c>
      <c r="DF12" s="105">
        <v>100</v>
      </c>
      <c r="DG12" s="85">
        <f>263+42</f>
        <v>305</v>
      </c>
      <c r="DI12" s="88"/>
      <c r="DJ12" s="88"/>
      <c r="DL12" s="90" t="s">
        <v>290</v>
      </c>
      <c r="DO12" s="84" t="s">
        <v>237</v>
      </c>
      <c r="DP12" s="84"/>
      <c r="DQ12" s="84"/>
      <c r="DR12" s="84"/>
      <c r="HS12" s="88"/>
      <c r="HT12" s="88"/>
      <c r="JU12" s="84" t="s">
        <v>252</v>
      </c>
    </row>
    <row r="13" spans="1:281" s="8" customFormat="1" ht="20" customHeight="1" x14ac:dyDescent="0.2">
      <c r="A13" s="35">
        <v>25</v>
      </c>
      <c r="B13" s="7" t="s">
        <v>670</v>
      </c>
      <c r="C13" s="8" t="s">
        <v>281</v>
      </c>
      <c r="D13" s="7" t="s">
        <v>231</v>
      </c>
      <c r="E13" s="8">
        <v>4</v>
      </c>
      <c r="F13" s="7" t="s">
        <v>239</v>
      </c>
      <c r="G13" s="7" t="s">
        <v>237</v>
      </c>
      <c r="H13" s="7">
        <v>25043416</v>
      </c>
      <c r="I13" s="7" t="s">
        <v>842</v>
      </c>
      <c r="J13" s="8" t="s">
        <v>282</v>
      </c>
      <c r="K13" s="8">
        <v>2014</v>
      </c>
      <c r="L13" s="9" t="s">
        <v>283</v>
      </c>
      <c r="M13" s="40"/>
      <c r="N13" s="8" t="s">
        <v>234</v>
      </c>
      <c r="O13" s="8" t="s">
        <v>235</v>
      </c>
      <c r="P13" s="37" t="s">
        <v>235</v>
      </c>
      <c r="Q13" s="37"/>
      <c r="R13" s="37"/>
      <c r="S13" s="37"/>
      <c r="T13" s="37"/>
      <c r="U13" s="37"/>
      <c r="V13" s="8" t="s">
        <v>236</v>
      </c>
      <c r="W13" s="8" t="s">
        <v>237</v>
      </c>
      <c r="X13" s="7" t="s">
        <v>284</v>
      </c>
      <c r="Y13" s="8" t="s">
        <v>828</v>
      </c>
      <c r="Z13" s="8" t="s">
        <v>240</v>
      </c>
      <c r="AB13" s="8" t="s">
        <v>237</v>
      </c>
      <c r="AC13" s="7" t="s">
        <v>897</v>
      </c>
      <c r="AD13" s="8" t="s">
        <v>239</v>
      </c>
      <c r="AE13" s="8" t="s">
        <v>560</v>
      </c>
      <c r="AF13" s="8" t="s">
        <v>239</v>
      </c>
      <c r="AG13" s="8" t="s">
        <v>240</v>
      </c>
      <c r="AH13" s="8" t="s">
        <v>239</v>
      </c>
      <c r="AI13" s="8">
        <v>35</v>
      </c>
      <c r="AJ13" s="8" t="s">
        <v>285</v>
      </c>
      <c r="AK13" s="8" t="s">
        <v>239</v>
      </c>
      <c r="AL13" s="8">
        <v>1000</v>
      </c>
      <c r="AM13" s="8" t="s">
        <v>241</v>
      </c>
      <c r="AN13" s="7" t="s">
        <v>286</v>
      </c>
      <c r="AO13" s="7"/>
      <c r="AP13" s="7"/>
      <c r="AQ13" s="7"/>
      <c r="AW13" s="8">
        <v>15</v>
      </c>
      <c r="AX13" s="8" t="s">
        <v>253</v>
      </c>
      <c r="AY13" s="8" t="s">
        <v>245</v>
      </c>
      <c r="BB13" s="7" t="s">
        <v>287</v>
      </c>
      <c r="BC13" s="11">
        <v>9.1199999999999992</v>
      </c>
      <c r="BD13" s="11">
        <v>1.18</v>
      </c>
      <c r="BE13" s="11"/>
      <c r="BF13" s="11">
        <v>8.44</v>
      </c>
      <c r="BG13" s="11">
        <v>1.01</v>
      </c>
      <c r="BH13" s="11"/>
      <c r="BI13" s="11"/>
      <c r="BJ13" s="8">
        <v>2</v>
      </c>
      <c r="BP13" s="8" t="s">
        <v>240</v>
      </c>
      <c r="BR13" s="8" t="s">
        <v>247</v>
      </c>
      <c r="BS13" s="8" t="s">
        <v>235</v>
      </c>
      <c r="CG13" s="8" t="s">
        <v>237</v>
      </c>
      <c r="CH13" s="8" t="s">
        <v>240</v>
      </c>
      <c r="CJ13" s="8" t="s">
        <v>239</v>
      </c>
      <c r="CK13" s="8" t="s">
        <v>248</v>
      </c>
      <c r="CL13" s="8">
        <v>20</v>
      </c>
      <c r="CM13" s="8">
        <v>42</v>
      </c>
      <c r="CN13" s="8" t="s">
        <v>291</v>
      </c>
      <c r="CO13" s="8" t="s">
        <v>291</v>
      </c>
      <c r="CP13" s="8" t="s">
        <v>291</v>
      </c>
      <c r="CQ13" s="8" t="s">
        <v>288</v>
      </c>
      <c r="CR13" s="5" t="s">
        <v>289</v>
      </c>
      <c r="CS13" s="11"/>
      <c r="CT13" s="11"/>
      <c r="CU13" s="11"/>
      <c r="CV13" s="11"/>
      <c r="CW13" s="41">
        <v>40.5</v>
      </c>
      <c r="CX13" s="42">
        <v>10</v>
      </c>
      <c r="CY13" s="38"/>
      <c r="CZ13" s="28" t="str">
        <f t="shared" si="11"/>
        <v/>
      </c>
      <c r="DB13" s="11"/>
      <c r="DC13" s="43">
        <v>26</v>
      </c>
      <c r="DD13" s="29">
        <f t="shared" si="12"/>
        <v>61.904761904761905</v>
      </c>
      <c r="DE13" s="28" t="str">
        <f t="shared" si="13"/>
        <v/>
      </c>
      <c r="DF13" s="43">
        <v>100</v>
      </c>
      <c r="DG13" s="8">
        <f>20+42</f>
        <v>62</v>
      </c>
      <c r="DI13" s="11"/>
      <c r="DJ13" s="11"/>
      <c r="DL13" s="6" t="s">
        <v>290</v>
      </c>
      <c r="DO13" s="7" t="s">
        <v>237</v>
      </c>
      <c r="DP13" s="7"/>
      <c r="DQ13" s="7"/>
      <c r="DR13" s="7"/>
      <c r="HS13" s="11"/>
      <c r="HT13" s="11"/>
      <c r="JU13" s="7" t="s">
        <v>252</v>
      </c>
    </row>
    <row r="14" spans="1:281" s="8" customFormat="1" ht="20" customHeight="1" x14ac:dyDescent="0.2">
      <c r="A14" s="35">
        <v>25</v>
      </c>
      <c r="B14" s="7" t="s">
        <v>671</v>
      </c>
      <c r="C14" s="8" t="s">
        <v>281</v>
      </c>
      <c r="D14" s="7" t="s">
        <v>231</v>
      </c>
      <c r="E14" s="8">
        <v>4</v>
      </c>
      <c r="F14" s="7" t="s">
        <v>239</v>
      </c>
      <c r="G14" s="7" t="s">
        <v>237</v>
      </c>
      <c r="H14" s="7">
        <v>25043416</v>
      </c>
      <c r="I14" s="7" t="s">
        <v>843</v>
      </c>
      <c r="J14" s="8" t="s">
        <v>282</v>
      </c>
      <c r="K14" s="8">
        <v>2014</v>
      </c>
      <c r="L14" s="9" t="s">
        <v>283</v>
      </c>
      <c r="M14" s="40"/>
      <c r="N14" s="8" t="s">
        <v>234</v>
      </c>
      <c r="O14" s="8" t="s">
        <v>235</v>
      </c>
      <c r="P14" s="37" t="s">
        <v>235</v>
      </c>
      <c r="Q14" s="37"/>
      <c r="R14" s="37"/>
      <c r="S14" s="37"/>
      <c r="T14" s="37"/>
      <c r="U14" s="37"/>
      <c r="V14" s="8" t="s">
        <v>236</v>
      </c>
      <c r="W14" s="8" t="s">
        <v>237</v>
      </c>
      <c r="X14" s="7" t="s">
        <v>284</v>
      </c>
      <c r="Y14" s="8" t="s">
        <v>828</v>
      </c>
      <c r="Z14" s="8" t="s">
        <v>240</v>
      </c>
      <c r="AB14" s="8" t="s">
        <v>237</v>
      </c>
      <c r="AC14" s="7" t="s">
        <v>897</v>
      </c>
      <c r="AD14" s="8" t="s">
        <v>239</v>
      </c>
      <c r="AE14" s="8" t="s">
        <v>560</v>
      </c>
      <c r="AF14" s="8" t="s">
        <v>239</v>
      </c>
      <c r="AG14" s="8" t="s">
        <v>240</v>
      </c>
      <c r="AH14" s="8" t="s">
        <v>239</v>
      </c>
      <c r="AI14" s="8">
        <v>35</v>
      </c>
      <c r="AJ14" s="8" t="s">
        <v>285</v>
      </c>
      <c r="AK14" s="8" t="s">
        <v>239</v>
      </c>
      <c r="AL14" s="8">
        <v>1000</v>
      </c>
      <c r="AM14" s="8" t="s">
        <v>241</v>
      </c>
      <c r="AN14" s="7" t="s">
        <v>286</v>
      </c>
      <c r="AO14" s="7"/>
      <c r="AP14" s="7"/>
      <c r="AQ14" s="7"/>
      <c r="AW14" s="8">
        <v>15</v>
      </c>
      <c r="AX14" s="8" t="s">
        <v>253</v>
      </c>
      <c r="AY14" s="8" t="s">
        <v>245</v>
      </c>
      <c r="BB14" s="7" t="s">
        <v>287</v>
      </c>
      <c r="BC14" s="11">
        <v>8.36</v>
      </c>
      <c r="BD14" s="11">
        <v>1.92</v>
      </c>
      <c r="BE14" s="11"/>
      <c r="BF14" s="11">
        <v>8.44</v>
      </c>
      <c r="BG14" s="11">
        <v>1.01</v>
      </c>
      <c r="BH14" s="11"/>
      <c r="BI14" s="11"/>
      <c r="BJ14" s="8">
        <v>2</v>
      </c>
      <c r="BP14" s="8" t="s">
        <v>240</v>
      </c>
      <c r="BR14" s="8" t="s">
        <v>247</v>
      </c>
      <c r="BS14" s="8" t="s">
        <v>235</v>
      </c>
      <c r="CG14" s="8" t="s">
        <v>237</v>
      </c>
      <c r="CH14" s="8" t="s">
        <v>240</v>
      </c>
      <c r="CJ14" s="8" t="s">
        <v>239</v>
      </c>
      <c r="CK14" s="8" t="s">
        <v>248</v>
      </c>
      <c r="CL14" s="8">
        <v>11</v>
      </c>
      <c r="CM14" s="8">
        <v>42</v>
      </c>
      <c r="CN14" s="8" t="s">
        <v>292</v>
      </c>
      <c r="CO14" s="8" t="s">
        <v>292</v>
      </c>
      <c r="CP14" s="8" t="s">
        <v>292</v>
      </c>
      <c r="CQ14" s="8" t="s">
        <v>288</v>
      </c>
      <c r="CR14" s="5" t="s">
        <v>289</v>
      </c>
      <c r="CS14" s="11"/>
      <c r="CT14" s="11"/>
      <c r="CU14" s="11"/>
      <c r="CV14" s="11"/>
      <c r="CW14" s="41">
        <v>40.5</v>
      </c>
      <c r="CX14" s="42">
        <v>10</v>
      </c>
      <c r="CY14" s="38"/>
      <c r="CZ14" s="28" t="str">
        <f t="shared" si="11"/>
        <v/>
      </c>
      <c r="DB14" s="11"/>
      <c r="DC14" s="43">
        <v>26</v>
      </c>
      <c r="DD14" s="29">
        <f t="shared" si="12"/>
        <v>61.904761904761905</v>
      </c>
      <c r="DE14" s="28" t="str">
        <f t="shared" si="13"/>
        <v/>
      </c>
      <c r="DF14" s="43">
        <v>100</v>
      </c>
      <c r="DG14" s="8">
        <f>11+42</f>
        <v>53</v>
      </c>
      <c r="DI14" s="11"/>
      <c r="DJ14" s="11"/>
      <c r="DL14" s="6" t="s">
        <v>290</v>
      </c>
      <c r="DO14" s="7" t="s">
        <v>237</v>
      </c>
      <c r="DP14" s="7"/>
      <c r="DQ14" s="7"/>
      <c r="DR14" s="7"/>
      <c r="HS14" s="11"/>
      <c r="HT14" s="11"/>
      <c r="JU14" s="7" t="s">
        <v>252</v>
      </c>
    </row>
    <row r="15" spans="1:281" s="8" customFormat="1" ht="20" customHeight="1" x14ac:dyDescent="0.2">
      <c r="A15" s="35">
        <v>25</v>
      </c>
      <c r="B15" s="7" t="s">
        <v>672</v>
      </c>
      <c r="C15" s="8" t="s">
        <v>281</v>
      </c>
      <c r="D15" s="7" t="s">
        <v>231</v>
      </c>
      <c r="E15" s="8">
        <v>4</v>
      </c>
      <c r="F15" s="7" t="s">
        <v>239</v>
      </c>
      <c r="G15" s="7" t="s">
        <v>237</v>
      </c>
      <c r="H15" s="7">
        <v>25043416</v>
      </c>
      <c r="I15" s="7" t="s">
        <v>844</v>
      </c>
      <c r="J15" s="8" t="s">
        <v>282</v>
      </c>
      <c r="K15" s="8">
        <v>2014</v>
      </c>
      <c r="L15" s="9" t="s">
        <v>283</v>
      </c>
      <c r="M15" s="40"/>
      <c r="N15" s="8" t="s">
        <v>234</v>
      </c>
      <c r="O15" s="8" t="s">
        <v>293</v>
      </c>
      <c r="P15" s="37" t="s">
        <v>820</v>
      </c>
      <c r="Q15" s="37" t="s">
        <v>1006</v>
      </c>
      <c r="R15" s="37"/>
      <c r="S15" s="37"/>
      <c r="T15" s="37"/>
      <c r="U15" s="37"/>
      <c r="V15" s="8" t="s">
        <v>236</v>
      </c>
      <c r="W15" s="8" t="s">
        <v>237</v>
      </c>
      <c r="X15" s="7" t="s">
        <v>284</v>
      </c>
      <c r="Y15" s="8" t="s">
        <v>828</v>
      </c>
      <c r="Z15" s="8" t="s">
        <v>240</v>
      </c>
      <c r="AB15" s="8" t="s">
        <v>237</v>
      </c>
      <c r="AC15" s="7" t="s">
        <v>897</v>
      </c>
      <c r="AD15" s="8" t="s">
        <v>239</v>
      </c>
      <c r="AE15" s="8" t="s">
        <v>560</v>
      </c>
      <c r="AF15" s="8" t="s">
        <v>239</v>
      </c>
      <c r="AG15" s="8" t="s">
        <v>240</v>
      </c>
      <c r="AH15" s="8" t="s">
        <v>239</v>
      </c>
      <c r="AI15" s="8">
        <v>35</v>
      </c>
      <c r="AJ15" s="8" t="s">
        <v>285</v>
      </c>
      <c r="AK15" s="8" t="s">
        <v>239</v>
      </c>
      <c r="AL15" s="8">
        <v>1000</v>
      </c>
      <c r="AM15" s="8" t="s">
        <v>241</v>
      </c>
      <c r="AN15" s="7" t="s">
        <v>286</v>
      </c>
      <c r="AO15" s="7"/>
      <c r="AP15" s="7"/>
      <c r="AQ15" s="7"/>
      <c r="AW15" s="8">
        <v>15</v>
      </c>
      <c r="AX15" s="8" t="s">
        <v>253</v>
      </c>
      <c r="AY15" s="8" t="s">
        <v>245</v>
      </c>
      <c r="BB15" s="7" t="s">
        <v>287</v>
      </c>
      <c r="BC15" s="11">
        <v>10.82</v>
      </c>
      <c r="BD15" s="11">
        <v>2.02</v>
      </c>
      <c r="BE15" s="11"/>
      <c r="BF15" s="11">
        <v>10.8</v>
      </c>
      <c r="BG15" s="11">
        <v>1.7</v>
      </c>
      <c r="BH15" s="11"/>
      <c r="BI15" s="11"/>
      <c r="BJ15" s="8">
        <v>2</v>
      </c>
      <c r="BP15" s="8" t="s">
        <v>240</v>
      </c>
      <c r="BR15" s="8" t="s">
        <v>293</v>
      </c>
      <c r="CG15" s="7" t="s">
        <v>237</v>
      </c>
      <c r="CH15" s="8" t="s">
        <v>240</v>
      </c>
      <c r="CJ15" s="8" t="s">
        <v>239</v>
      </c>
      <c r="CK15" s="8" t="s">
        <v>248</v>
      </c>
      <c r="CL15" s="8">
        <v>263</v>
      </c>
      <c r="CM15" s="8">
        <v>42</v>
      </c>
      <c r="CN15" s="8" t="s">
        <v>249</v>
      </c>
      <c r="CO15" s="8" t="s">
        <v>249</v>
      </c>
      <c r="CP15" s="8" t="s">
        <v>249</v>
      </c>
      <c r="CQ15" s="8" t="s">
        <v>288</v>
      </c>
      <c r="CR15" s="5" t="s">
        <v>289</v>
      </c>
      <c r="CS15" s="11"/>
      <c r="CT15" s="11"/>
      <c r="CU15" s="11"/>
      <c r="CV15" s="11"/>
      <c r="CW15" s="41">
        <v>40.5</v>
      </c>
      <c r="CX15" s="42">
        <v>10</v>
      </c>
      <c r="CY15" s="38"/>
      <c r="CZ15" s="28" t="str">
        <f t="shared" si="11"/>
        <v/>
      </c>
      <c r="DB15" s="11"/>
      <c r="DC15" s="43">
        <v>26</v>
      </c>
      <c r="DD15" s="29">
        <f t="shared" si="12"/>
        <v>61.904761904761905</v>
      </c>
      <c r="DE15" s="28" t="str">
        <f t="shared" si="13"/>
        <v/>
      </c>
      <c r="DF15" s="43">
        <v>100</v>
      </c>
      <c r="DG15" s="8">
        <v>305</v>
      </c>
      <c r="DI15" s="11"/>
      <c r="DJ15" s="11"/>
      <c r="DL15" s="6" t="s">
        <v>290</v>
      </c>
      <c r="DO15" s="7" t="s">
        <v>237</v>
      </c>
      <c r="DP15" s="7"/>
      <c r="DQ15" s="7"/>
      <c r="DR15" s="7"/>
      <c r="HS15" s="11"/>
      <c r="HT15" s="11"/>
      <c r="JU15" s="7" t="s">
        <v>252</v>
      </c>
    </row>
    <row r="16" spans="1:281" s="8" customFormat="1" ht="20" customHeight="1" x14ac:dyDescent="0.2">
      <c r="A16" s="35">
        <v>25</v>
      </c>
      <c r="B16" s="7" t="s">
        <v>673</v>
      </c>
      <c r="C16" s="8" t="s">
        <v>281</v>
      </c>
      <c r="D16" s="7" t="s">
        <v>231</v>
      </c>
      <c r="E16" s="8">
        <v>4</v>
      </c>
      <c r="F16" s="7" t="s">
        <v>239</v>
      </c>
      <c r="G16" s="7" t="s">
        <v>237</v>
      </c>
      <c r="H16" s="7">
        <v>25043416</v>
      </c>
      <c r="I16" s="7" t="s">
        <v>845</v>
      </c>
      <c r="J16" s="8" t="s">
        <v>282</v>
      </c>
      <c r="K16" s="8">
        <v>2014</v>
      </c>
      <c r="L16" s="9" t="s">
        <v>283</v>
      </c>
      <c r="M16" s="40"/>
      <c r="N16" s="8" t="s">
        <v>234</v>
      </c>
      <c r="O16" s="8" t="s">
        <v>293</v>
      </c>
      <c r="P16" s="37" t="s">
        <v>820</v>
      </c>
      <c r="Q16" s="37" t="s">
        <v>1006</v>
      </c>
      <c r="R16" s="37"/>
      <c r="S16" s="37"/>
      <c r="T16" s="37"/>
      <c r="U16" s="37"/>
      <c r="V16" s="8" t="s">
        <v>236</v>
      </c>
      <c r="W16" s="8" t="s">
        <v>237</v>
      </c>
      <c r="X16" s="7" t="s">
        <v>284</v>
      </c>
      <c r="Y16" s="8" t="s">
        <v>828</v>
      </c>
      <c r="Z16" s="8" t="s">
        <v>240</v>
      </c>
      <c r="AB16" s="8" t="s">
        <v>237</v>
      </c>
      <c r="AC16" s="7" t="s">
        <v>897</v>
      </c>
      <c r="AD16" s="8" t="s">
        <v>239</v>
      </c>
      <c r="AE16" s="8" t="s">
        <v>560</v>
      </c>
      <c r="AF16" s="8" t="s">
        <v>239</v>
      </c>
      <c r="AG16" s="8" t="s">
        <v>240</v>
      </c>
      <c r="AH16" s="8" t="s">
        <v>239</v>
      </c>
      <c r="AI16" s="8">
        <v>35</v>
      </c>
      <c r="AJ16" s="8" t="s">
        <v>285</v>
      </c>
      <c r="AK16" s="8" t="s">
        <v>239</v>
      </c>
      <c r="AL16" s="8">
        <v>1000</v>
      </c>
      <c r="AM16" s="8" t="s">
        <v>241</v>
      </c>
      <c r="AN16" s="7" t="s">
        <v>286</v>
      </c>
      <c r="AO16" s="7"/>
      <c r="AP16" s="7"/>
      <c r="AQ16" s="7"/>
      <c r="AW16" s="8">
        <v>15</v>
      </c>
      <c r="AX16" s="8" t="s">
        <v>253</v>
      </c>
      <c r="AY16" s="8" t="s">
        <v>245</v>
      </c>
      <c r="BB16" s="7" t="s">
        <v>287</v>
      </c>
      <c r="BC16" s="11">
        <v>10.59</v>
      </c>
      <c r="BD16" s="41">
        <v>2</v>
      </c>
      <c r="BE16" s="41"/>
      <c r="BF16" s="11">
        <v>10.8</v>
      </c>
      <c r="BG16" s="11">
        <v>1.7</v>
      </c>
      <c r="BH16" s="11"/>
      <c r="BI16" s="11"/>
      <c r="BJ16" s="8">
        <v>2</v>
      </c>
      <c r="BP16" s="8" t="s">
        <v>240</v>
      </c>
      <c r="BR16" s="8" t="s">
        <v>293</v>
      </c>
      <c r="CG16" s="7" t="s">
        <v>237</v>
      </c>
      <c r="CH16" s="8" t="s">
        <v>240</v>
      </c>
      <c r="CJ16" s="8" t="s">
        <v>239</v>
      </c>
      <c r="CK16" s="8" t="s">
        <v>248</v>
      </c>
      <c r="CL16" s="8">
        <v>20</v>
      </c>
      <c r="CM16" s="8">
        <v>42</v>
      </c>
      <c r="CN16" s="8" t="s">
        <v>291</v>
      </c>
      <c r="CO16" s="8" t="s">
        <v>291</v>
      </c>
      <c r="CP16" s="8" t="s">
        <v>291</v>
      </c>
      <c r="CQ16" s="8" t="s">
        <v>288</v>
      </c>
      <c r="CR16" s="5" t="s">
        <v>289</v>
      </c>
      <c r="CS16" s="11"/>
      <c r="CT16" s="11"/>
      <c r="CU16" s="11"/>
      <c r="CV16" s="11"/>
      <c r="CW16" s="41">
        <v>40.5</v>
      </c>
      <c r="CX16" s="42">
        <v>10</v>
      </c>
      <c r="CY16" s="38"/>
      <c r="CZ16" s="28" t="str">
        <f t="shared" si="11"/>
        <v/>
      </c>
      <c r="DB16" s="11"/>
      <c r="DC16" s="43">
        <v>26</v>
      </c>
      <c r="DD16" s="29">
        <f t="shared" si="12"/>
        <v>61.904761904761905</v>
      </c>
      <c r="DE16" s="28" t="str">
        <f t="shared" si="13"/>
        <v/>
      </c>
      <c r="DF16" s="43">
        <v>100</v>
      </c>
      <c r="DG16" s="8">
        <v>62</v>
      </c>
      <c r="DI16" s="11"/>
      <c r="DJ16" s="11"/>
      <c r="DL16" s="6" t="s">
        <v>290</v>
      </c>
      <c r="DO16" s="7" t="s">
        <v>237</v>
      </c>
      <c r="DP16" s="7"/>
      <c r="DQ16" s="7"/>
      <c r="DR16" s="7"/>
      <c r="HS16" s="11"/>
      <c r="HT16" s="11"/>
      <c r="JU16" s="7" t="s">
        <v>252</v>
      </c>
    </row>
    <row r="17" spans="1:281" s="8" customFormat="1" ht="20" customHeight="1" x14ac:dyDescent="0.2">
      <c r="A17" s="35">
        <v>25</v>
      </c>
      <c r="B17" s="7" t="s">
        <v>674</v>
      </c>
      <c r="C17" s="8" t="s">
        <v>281</v>
      </c>
      <c r="D17" s="7" t="s">
        <v>231</v>
      </c>
      <c r="E17" s="8">
        <v>4</v>
      </c>
      <c r="F17" s="7" t="s">
        <v>239</v>
      </c>
      <c r="G17" s="7" t="s">
        <v>237</v>
      </c>
      <c r="H17" s="7">
        <v>25043416</v>
      </c>
      <c r="I17" s="7" t="s">
        <v>846</v>
      </c>
      <c r="J17" s="8" t="s">
        <v>282</v>
      </c>
      <c r="K17" s="8">
        <v>2014</v>
      </c>
      <c r="L17" s="9" t="s">
        <v>283</v>
      </c>
      <c r="M17" s="40"/>
      <c r="N17" s="8" t="s">
        <v>234</v>
      </c>
      <c r="O17" s="8" t="s">
        <v>293</v>
      </c>
      <c r="P17" s="37" t="s">
        <v>820</v>
      </c>
      <c r="Q17" s="37" t="s">
        <v>1006</v>
      </c>
      <c r="R17" s="37"/>
      <c r="S17" s="37"/>
      <c r="T17" s="37"/>
      <c r="U17" s="37"/>
      <c r="V17" s="8" t="s">
        <v>236</v>
      </c>
      <c r="W17" s="8" t="s">
        <v>237</v>
      </c>
      <c r="X17" s="7" t="s">
        <v>284</v>
      </c>
      <c r="Y17" s="8" t="s">
        <v>828</v>
      </c>
      <c r="Z17" s="8" t="s">
        <v>240</v>
      </c>
      <c r="AB17" s="8" t="s">
        <v>237</v>
      </c>
      <c r="AC17" s="7" t="s">
        <v>897</v>
      </c>
      <c r="AD17" s="8" t="s">
        <v>239</v>
      </c>
      <c r="AE17" s="8" t="s">
        <v>560</v>
      </c>
      <c r="AF17" s="8" t="s">
        <v>239</v>
      </c>
      <c r="AG17" s="8" t="s">
        <v>240</v>
      </c>
      <c r="AH17" s="8" t="s">
        <v>239</v>
      </c>
      <c r="AI17" s="8">
        <v>35</v>
      </c>
      <c r="AJ17" s="8" t="s">
        <v>285</v>
      </c>
      <c r="AK17" s="8" t="s">
        <v>239</v>
      </c>
      <c r="AL17" s="8">
        <v>1000</v>
      </c>
      <c r="AM17" s="8" t="s">
        <v>241</v>
      </c>
      <c r="AN17" s="7" t="s">
        <v>286</v>
      </c>
      <c r="AO17" s="7"/>
      <c r="AP17" s="7"/>
      <c r="AQ17" s="7"/>
      <c r="AW17" s="8">
        <v>15</v>
      </c>
      <c r="AX17" s="8" t="s">
        <v>253</v>
      </c>
      <c r="AY17" s="8" t="s">
        <v>245</v>
      </c>
      <c r="BB17" s="7" t="s">
        <v>287</v>
      </c>
      <c r="BC17" s="11">
        <v>10.15</v>
      </c>
      <c r="BD17" s="11">
        <v>1.47</v>
      </c>
      <c r="BE17" s="11"/>
      <c r="BF17" s="11">
        <v>10.8</v>
      </c>
      <c r="BG17" s="11">
        <v>1.7</v>
      </c>
      <c r="BH17" s="11"/>
      <c r="BI17" s="11"/>
      <c r="BJ17" s="8">
        <v>2</v>
      </c>
      <c r="BP17" s="8" t="s">
        <v>240</v>
      </c>
      <c r="BR17" s="8" t="s">
        <v>293</v>
      </c>
      <c r="CG17" s="7" t="s">
        <v>237</v>
      </c>
      <c r="CH17" s="8" t="s">
        <v>240</v>
      </c>
      <c r="CJ17" s="8" t="s">
        <v>239</v>
      </c>
      <c r="CK17" s="8" t="s">
        <v>248</v>
      </c>
      <c r="CL17" s="8">
        <v>11</v>
      </c>
      <c r="CM17" s="8">
        <v>42</v>
      </c>
      <c r="CN17" s="8" t="s">
        <v>292</v>
      </c>
      <c r="CO17" s="8" t="s">
        <v>292</v>
      </c>
      <c r="CP17" s="8" t="s">
        <v>292</v>
      </c>
      <c r="CQ17" s="8" t="s">
        <v>288</v>
      </c>
      <c r="CR17" s="5" t="s">
        <v>289</v>
      </c>
      <c r="CS17" s="11"/>
      <c r="CT17" s="11"/>
      <c r="CU17" s="11"/>
      <c r="CV17" s="11"/>
      <c r="CW17" s="41">
        <v>40.5</v>
      </c>
      <c r="CX17" s="42">
        <v>10</v>
      </c>
      <c r="CY17" s="38"/>
      <c r="CZ17" s="28" t="str">
        <f t="shared" si="11"/>
        <v/>
      </c>
      <c r="DB17" s="11"/>
      <c r="DC17" s="43">
        <v>26</v>
      </c>
      <c r="DD17" s="29">
        <f t="shared" si="12"/>
        <v>61.904761904761905</v>
      </c>
      <c r="DE17" s="28" t="str">
        <f t="shared" si="13"/>
        <v/>
      </c>
      <c r="DF17" s="43">
        <v>100</v>
      </c>
      <c r="DG17" s="8">
        <v>53</v>
      </c>
      <c r="DI17" s="11"/>
      <c r="DJ17" s="11"/>
      <c r="DL17" s="6" t="s">
        <v>290</v>
      </c>
      <c r="DO17" s="7" t="s">
        <v>237</v>
      </c>
      <c r="DP17" s="7"/>
      <c r="DQ17" s="7"/>
      <c r="DR17" s="7"/>
      <c r="HS17" s="11"/>
      <c r="HT17" s="11"/>
      <c r="JU17" s="7" t="s">
        <v>252</v>
      </c>
    </row>
    <row r="18" spans="1:281" s="8" customFormat="1" ht="20" customHeight="1" x14ac:dyDescent="0.2">
      <c r="A18" s="35">
        <v>25</v>
      </c>
      <c r="B18" s="7" t="s">
        <v>675</v>
      </c>
      <c r="C18" s="8" t="s">
        <v>281</v>
      </c>
      <c r="D18" s="7" t="s">
        <v>231</v>
      </c>
      <c r="E18" s="8">
        <v>4</v>
      </c>
      <c r="F18" s="7" t="s">
        <v>237</v>
      </c>
      <c r="G18" s="7" t="s">
        <v>237</v>
      </c>
      <c r="H18" s="7">
        <v>25043416</v>
      </c>
      <c r="I18" s="7" t="s">
        <v>847</v>
      </c>
      <c r="J18" s="8" t="s">
        <v>282</v>
      </c>
      <c r="K18" s="8">
        <v>2014</v>
      </c>
      <c r="L18" s="9" t="s">
        <v>283</v>
      </c>
      <c r="M18" s="40"/>
      <c r="N18" s="8" t="s">
        <v>234</v>
      </c>
      <c r="O18" s="8" t="s">
        <v>235</v>
      </c>
      <c r="P18" s="37" t="s">
        <v>235</v>
      </c>
      <c r="Q18" s="37"/>
      <c r="R18" s="37"/>
      <c r="S18" s="37"/>
      <c r="T18" s="37"/>
      <c r="U18" s="37"/>
      <c r="V18" s="8" t="s">
        <v>236</v>
      </c>
      <c r="W18" s="8" t="s">
        <v>237</v>
      </c>
      <c r="X18" s="7" t="s">
        <v>284</v>
      </c>
      <c r="Y18" s="8" t="s">
        <v>828</v>
      </c>
      <c r="Z18" s="8" t="s">
        <v>240</v>
      </c>
      <c r="AB18" s="8" t="s">
        <v>237</v>
      </c>
      <c r="AC18" s="7" t="s">
        <v>897</v>
      </c>
      <c r="AD18" s="8" t="s">
        <v>239</v>
      </c>
      <c r="AE18" s="8" t="s">
        <v>560</v>
      </c>
      <c r="AF18" s="8" t="s">
        <v>239</v>
      </c>
      <c r="AG18" s="8" t="s">
        <v>240</v>
      </c>
      <c r="AH18" s="8" t="s">
        <v>239</v>
      </c>
      <c r="AI18" s="8">
        <v>35</v>
      </c>
      <c r="AJ18" s="8" t="s">
        <v>285</v>
      </c>
      <c r="AK18" s="8" t="s">
        <v>239</v>
      </c>
      <c r="AL18" s="8">
        <v>1000</v>
      </c>
      <c r="AM18" s="8" t="s">
        <v>241</v>
      </c>
      <c r="AN18" s="7" t="s">
        <v>286</v>
      </c>
      <c r="AO18" s="7"/>
      <c r="AP18" s="7"/>
      <c r="AQ18" s="7"/>
      <c r="AW18" s="8">
        <v>15</v>
      </c>
      <c r="AX18" s="8" t="s">
        <v>253</v>
      </c>
      <c r="AY18" s="8" t="s">
        <v>277</v>
      </c>
      <c r="AZ18" s="8" t="s">
        <v>294</v>
      </c>
      <c r="BB18" s="7" t="s">
        <v>287</v>
      </c>
      <c r="BC18" s="11">
        <v>0.95</v>
      </c>
      <c r="BD18" s="11">
        <v>0.16</v>
      </c>
      <c r="BE18" s="11"/>
      <c r="BF18" s="11">
        <v>0.75</v>
      </c>
      <c r="BG18" s="11">
        <v>0.1</v>
      </c>
      <c r="BH18" s="11"/>
      <c r="BI18" s="11"/>
      <c r="BJ18" s="8">
        <v>2</v>
      </c>
      <c r="BP18" s="8" t="s">
        <v>240</v>
      </c>
      <c r="BR18" s="8" t="s">
        <v>247</v>
      </c>
      <c r="BS18" s="8" t="s">
        <v>235</v>
      </c>
      <c r="CG18" s="8" t="s">
        <v>237</v>
      </c>
      <c r="CH18" s="8" t="s">
        <v>240</v>
      </c>
      <c r="CJ18" s="8" t="s">
        <v>239</v>
      </c>
      <c r="CK18" s="8" t="s">
        <v>248</v>
      </c>
      <c r="CL18" s="8">
        <v>263</v>
      </c>
      <c r="CM18" s="8">
        <v>42</v>
      </c>
      <c r="CN18" s="8" t="s">
        <v>249</v>
      </c>
      <c r="CO18" s="8" t="s">
        <v>249</v>
      </c>
      <c r="CP18" s="8" t="s">
        <v>249</v>
      </c>
      <c r="CQ18" s="8" t="s">
        <v>288</v>
      </c>
      <c r="CR18" s="5" t="s">
        <v>289</v>
      </c>
      <c r="CS18" s="11"/>
      <c r="CT18" s="11"/>
      <c r="CU18" s="11"/>
      <c r="CV18" s="11"/>
      <c r="CW18" s="41">
        <v>40.5</v>
      </c>
      <c r="CX18" s="42">
        <v>10</v>
      </c>
      <c r="CY18" s="38"/>
      <c r="CZ18" s="28" t="str">
        <f t="shared" si="11"/>
        <v/>
      </c>
      <c r="DB18" s="11"/>
      <c r="DC18" s="43">
        <v>26</v>
      </c>
      <c r="DD18" s="29">
        <f t="shared" si="12"/>
        <v>61.904761904761905</v>
      </c>
      <c r="DE18" s="28" t="str">
        <f t="shared" si="13"/>
        <v/>
      </c>
      <c r="DF18" s="43">
        <v>100</v>
      </c>
      <c r="DG18" s="8">
        <v>305</v>
      </c>
      <c r="DI18" s="11"/>
      <c r="DJ18" s="11"/>
      <c r="DL18" s="6" t="s">
        <v>290</v>
      </c>
      <c r="DO18" s="7" t="s">
        <v>237</v>
      </c>
      <c r="DP18" s="7"/>
      <c r="DQ18" s="7"/>
      <c r="DR18" s="7"/>
      <c r="HS18" s="11"/>
      <c r="HT18" s="11"/>
      <c r="JU18" s="7" t="s">
        <v>252</v>
      </c>
    </row>
    <row r="19" spans="1:281" s="8" customFormat="1" ht="20" customHeight="1" x14ac:dyDescent="0.2">
      <c r="A19" s="35">
        <v>25</v>
      </c>
      <c r="B19" s="7" t="s">
        <v>676</v>
      </c>
      <c r="C19" s="8" t="s">
        <v>281</v>
      </c>
      <c r="D19" s="7" t="s">
        <v>231</v>
      </c>
      <c r="E19" s="8">
        <v>4</v>
      </c>
      <c r="F19" s="7" t="s">
        <v>237</v>
      </c>
      <c r="G19" s="7" t="s">
        <v>237</v>
      </c>
      <c r="H19" s="7">
        <v>25043416</v>
      </c>
      <c r="I19" s="7" t="s">
        <v>848</v>
      </c>
      <c r="J19" s="8" t="s">
        <v>282</v>
      </c>
      <c r="K19" s="8">
        <v>2014</v>
      </c>
      <c r="L19" s="9" t="s">
        <v>283</v>
      </c>
      <c r="M19" s="40"/>
      <c r="N19" s="8" t="s">
        <v>234</v>
      </c>
      <c r="O19" s="8" t="s">
        <v>235</v>
      </c>
      <c r="P19" s="37" t="s">
        <v>235</v>
      </c>
      <c r="Q19" s="37"/>
      <c r="R19" s="37"/>
      <c r="S19" s="37"/>
      <c r="T19" s="37"/>
      <c r="U19" s="37"/>
      <c r="V19" s="8" t="s">
        <v>236</v>
      </c>
      <c r="W19" s="8" t="s">
        <v>237</v>
      </c>
      <c r="X19" s="7" t="s">
        <v>284</v>
      </c>
      <c r="Y19" s="8" t="s">
        <v>828</v>
      </c>
      <c r="Z19" s="8" t="s">
        <v>240</v>
      </c>
      <c r="AB19" s="8" t="s">
        <v>237</v>
      </c>
      <c r="AC19" s="7" t="s">
        <v>897</v>
      </c>
      <c r="AD19" s="8" t="s">
        <v>239</v>
      </c>
      <c r="AE19" s="8" t="s">
        <v>560</v>
      </c>
      <c r="AF19" s="8" t="s">
        <v>239</v>
      </c>
      <c r="AG19" s="8" t="s">
        <v>240</v>
      </c>
      <c r="AH19" s="8" t="s">
        <v>239</v>
      </c>
      <c r="AI19" s="8">
        <v>35</v>
      </c>
      <c r="AJ19" s="8" t="s">
        <v>285</v>
      </c>
      <c r="AK19" s="8" t="s">
        <v>239</v>
      </c>
      <c r="AL19" s="8">
        <v>1000</v>
      </c>
      <c r="AM19" s="8" t="s">
        <v>241</v>
      </c>
      <c r="AN19" s="7" t="s">
        <v>286</v>
      </c>
      <c r="AO19" s="7"/>
      <c r="AP19" s="7"/>
      <c r="AQ19" s="7"/>
      <c r="AW19" s="8">
        <v>15</v>
      </c>
      <c r="AX19" s="8" t="s">
        <v>253</v>
      </c>
      <c r="AY19" s="8" t="s">
        <v>277</v>
      </c>
      <c r="AZ19" s="8" t="s">
        <v>294</v>
      </c>
      <c r="BB19" s="7" t="s">
        <v>287</v>
      </c>
      <c r="BC19" s="11">
        <v>0.94</v>
      </c>
      <c r="BD19" s="11">
        <v>0.12</v>
      </c>
      <c r="BE19" s="11"/>
      <c r="BF19" s="11">
        <v>0.75</v>
      </c>
      <c r="BG19" s="11">
        <v>0.1</v>
      </c>
      <c r="BH19" s="11"/>
      <c r="BI19" s="11"/>
      <c r="BJ19" s="8">
        <v>2</v>
      </c>
      <c r="BP19" s="8" t="s">
        <v>240</v>
      </c>
      <c r="BR19" s="8" t="s">
        <v>247</v>
      </c>
      <c r="BS19" s="8" t="s">
        <v>235</v>
      </c>
      <c r="CG19" s="8" t="s">
        <v>237</v>
      </c>
      <c r="CH19" s="8" t="s">
        <v>240</v>
      </c>
      <c r="CJ19" s="8" t="s">
        <v>239</v>
      </c>
      <c r="CK19" s="8" t="s">
        <v>248</v>
      </c>
      <c r="CL19" s="8">
        <v>20</v>
      </c>
      <c r="CM19" s="8">
        <v>42</v>
      </c>
      <c r="CN19" s="8" t="s">
        <v>291</v>
      </c>
      <c r="CO19" s="8" t="s">
        <v>291</v>
      </c>
      <c r="CP19" s="8" t="s">
        <v>291</v>
      </c>
      <c r="CQ19" s="8" t="s">
        <v>288</v>
      </c>
      <c r="CR19" s="5" t="s">
        <v>289</v>
      </c>
      <c r="CS19" s="11"/>
      <c r="CT19" s="11"/>
      <c r="CU19" s="11"/>
      <c r="CV19" s="11"/>
      <c r="CW19" s="41">
        <v>40.5</v>
      </c>
      <c r="CX19" s="42">
        <v>10</v>
      </c>
      <c r="CY19" s="38"/>
      <c r="CZ19" s="28" t="str">
        <f t="shared" si="11"/>
        <v/>
      </c>
      <c r="DB19" s="11"/>
      <c r="DC19" s="43">
        <v>26</v>
      </c>
      <c r="DD19" s="29">
        <f t="shared" si="12"/>
        <v>61.904761904761905</v>
      </c>
      <c r="DE19" s="28" t="str">
        <f t="shared" si="13"/>
        <v/>
      </c>
      <c r="DF19" s="43">
        <v>100</v>
      </c>
      <c r="DG19" s="8">
        <v>62</v>
      </c>
      <c r="DI19" s="11"/>
      <c r="DJ19" s="11"/>
      <c r="DL19" s="6" t="s">
        <v>290</v>
      </c>
      <c r="DO19" s="7" t="s">
        <v>237</v>
      </c>
      <c r="DP19" s="7"/>
      <c r="DQ19" s="7"/>
      <c r="DR19" s="7"/>
      <c r="HS19" s="11"/>
      <c r="HT19" s="11"/>
      <c r="JU19" s="7" t="s">
        <v>252</v>
      </c>
    </row>
    <row r="20" spans="1:281" s="8" customFormat="1" ht="20" customHeight="1" x14ac:dyDescent="0.2">
      <c r="A20" s="35">
        <v>25</v>
      </c>
      <c r="B20" s="7" t="s">
        <v>677</v>
      </c>
      <c r="C20" s="8" t="s">
        <v>281</v>
      </c>
      <c r="D20" s="7" t="s">
        <v>231</v>
      </c>
      <c r="E20" s="8">
        <v>4</v>
      </c>
      <c r="F20" s="7" t="s">
        <v>237</v>
      </c>
      <c r="G20" s="7" t="s">
        <v>237</v>
      </c>
      <c r="H20" s="7">
        <v>25043416</v>
      </c>
      <c r="I20" s="7" t="s">
        <v>849</v>
      </c>
      <c r="J20" s="8" t="s">
        <v>282</v>
      </c>
      <c r="K20" s="8">
        <v>2014</v>
      </c>
      <c r="L20" s="9" t="s">
        <v>283</v>
      </c>
      <c r="M20" s="40"/>
      <c r="N20" s="8" t="s">
        <v>234</v>
      </c>
      <c r="O20" s="8" t="s">
        <v>235</v>
      </c>
      <c r="P20" s="37" t="s">
        <v>235</v>
      </c>
      <c r="Q20" s="37"/>
      <c r="R20" s="37"/>
      <c r="S20" s="37"/>
      <c r="T20" s="37"/>
      <c r="U20" s="37"/>
      <c r="V20" s="8" t="s">
        <v>236</v>
      </c>
      <c r="W20" s="8" t="s">
        <v>237</v>
      </c>
      <c r="X20" s="7" t="s">
        <v>284</v>
      </c>
      <c r="Y20" s="8" t="s">
        <v>828</v>
      </c>
      <c r="Z20" s="8" t="s">
        <v>240</v>
      </c>
      <c r="AB20" s="8" t="s">
        <v>237</v>
      </c>
      <c r="AC20" s="7" t="s">
        <v>897</v>
      </c>
      <c r="AD20" s="8" t="s">
        <v>239</v>
      </c>
      <c r="AE20" s="8" t="s">
        <v>560</v>
      </c>
      <c r="AF20" s="8" t="s">
        <v>239</v>
      </c>
      <c r="AG20" s="8" t="s">
        <v>240</v>
      </c>
      <c r="AH20" s="8" t="s">
        <v>239</v>
      </c>
      <c r="AI20" s="8">
        <v>35</v>
      </c>
      <c r="AJ20" s="8" t="s">
        <v>285</v>
      </c>
      <c r="AK20" s="8" t="s">
        <v>239</v>
      </c>
      <c r="AL20" s="8">
        <v>1000</v>
      </c>
      <c r="AM20" s="8" t="s">
        <v>241</v>
      </c>
      <c r="AN20" s="7" t="s">
        <v>286</v>
      </c>
      <c r="AO20" s="7"/>
      <c r="AP20" s="7"/>
      <c r="AQ20" s="7"/>
      <c r="AW20" s="8">
        <v>15</v>
      </c>
      <c r="AX20" s="8" t="s">
        <v>253</v>
      </c>
      <c r="AY20" s="8" t="s">
        <v>277</v>
      </c>
      <c r="AZ20" s="8" t="s">
        <v>294</v>
      </c>
      <c r="BB20" s="7" t="s">
        <v>287</v>
      </c>
      <c r="BC20" s="11">
        <v>0.9</v>
      </c>
      <c r="BD20" s="11">
        <v>0.16</v>
      </c>
      <c r="BE20" s="11"/>
      <c r="BF20" s="11">
        <v>0.75</v>
      </c>
      <c r="BG20" s="11">
        <v>0.1</v>
      </c>
      <c r="BH20" s="11"/>
      <c r="BI20" s="11"/>
      <c r="BJ20" s="8">
        <v>2</v>
      </c>
      <c r="BP20" s="8" t="s">
        <v>240</v>
      </c>
      <c r="BR20" s="8" t="s">
        <v>247</v>
      </c>
      <c r="BS20" s="8" t="s">
        <v>235</v>
      </c>
      <c r="CG20" s="8" t="s">
        <v>237</v>
      </c>
      <c r="CH20" s="8" t="s">
        <v>240</v>
      </c>
      <c r="CJ20" s="8" t="s">
        <v>239</v>
      </c>
      <c r="CK20" s="8" t="s">
        <v>248</v>
      </c>
      <c r="CL20" s="8">
        <v>11</v>
      </c>
      <c r="CM20" s="8">
        <v>42</v>
      </c>
      <c r="CN20" s="8" t="s">
        <v>292</v>
      </c>
      <c r="CO20" s="8" t="s">
        <v>292</v>
      </c>
      <c r="CP20" s="8" t="s">
        <v>292</v>
      </c>
      <c r="CQ20" s="8" t="s">
        <v>288</v>
      </c>
      <c r="CR20" s="5" t="s">
        <v>289</v>
      </c>
      <c r="CS20" s="11"/>
      <c r="CT20" s="11"/>
      <c r="CU20" s="11"/>
      <c r="CV20" s="11"/>
      <c r="CW20" s="41">
        <v>40.5</v>
      </c>
      <c r="CX20" s="42">
        <v>10</v>
      </c>
      <c r="CY20" s="38"/>
      <c r="CZ20" s="28" t="str">
        <f t="shared" si="11"/>
        <v/>
      </c>
      <c r="DB20" s="11"/>
      <c r="DC20" s="43">
        <v>26</v>
      </c>
      <c r="DD20" s="29">
        <f t="shared" si="12"/>
        <v>61.904761904761905</v>
      </c>
      <c r="DE20" s="28" t="str">
        <f t="shared" si="13"/>
        <v/>
      </c>
      <c r="DF20" s="43">
        <v>100</v>
      </c>
      <c r="DG20" s="8">
        <v>53</v>
      </c>
      <c r="DI20" s="11"/>
      <c r="DJ20" s="11"/>
      <c r="DL20" s="6" t="s">
        <v>290</v>
      </c>
      <c r="DO20" s="7" t="s">
        <v>237</v>
      </c>
      <c r="DP20" s="7"/>
      <c r="DQ20" s="7"/>
      <c r="DR20" s="7"/>
      <c r="HS20" s="11"/>
      <c r="HT20" s="11"/>
      <c r="JU20" s="7" t="s">
        <v>252</v>
      </c>
    </row>
    <row r="21" spans="1:281" s="8" customFormat="1" ht="20" customHeight="1" x14ac:dyDescent="0.2">
      <c r="A21" s="35">
        <v>25</v>
      </c>
      <c r="B21" s="7" t="s">
        <v>678</v>
      </c>
      <c r="C21" s="8" t="s">
        <v>281</v>
      </c>
      <c r="D21" s="7" t="s">
        <v>231</v>
      </c>
      <c r="E21" s="8">
        <v>4</v>
      </c>
      <c r="F21" s="7" t="s">
        <v>237</v>
      </c>
      <c r="G21" s="7" t="s">
        <v>237</v>
      </c>
      <c r="H21" s="7">
        <v>25043416</v>
      </c>
      <c r="I21" s="7" t="s">
        <v>850</v>
      </c>
      <c r="J21" s="8" t="s">
        <v>282</v>
      </c>
      <c r="K21" s="8">
        <v>2014</v>
      </c>
      <c r="L21" s="9" t="s">
        <v>283</v>
      </c>
      <c r="M21" s="40"/>
      <c r="N21" s="8" t="s">
        <v>234</v>
      </c>
      <c r="O21" s="8" t="s">
        <v>293</v>
      </c>
      <c r="P21" s="37" t="s">
        <v>820</v>
      </c>
      <c r="Q21" s="37" t="s">
        <v>1006</v>
      </c>
      <c r="R21" s="37"/>
      <c r="S21" s="37"/>
      <c r="T21" s="37"/>
      <c r="U21" s="37"/>
      <c r="V21" s="8" t="s">
        <v>236</v>
      </c>
      <c r="W21" s="8" t="s">
        <v>237</v>
      </c>
      <c r="X21" s="7" t="s">
        <v>284</v>
      </c>
      <c r="Y21" s="8" t="s">
        <v>828</v>
      </c>
      <c r="Z21" s="8" t="s">
        <v>240</v>
      </c>
      <c r="AB21" s="8" t="s">
        <v>237</v>
      </c>
      <c r="AC21" s="7" t="s">
        <v>897</v>
      </c>
      <c r="AD21" s="8" t="s">
        <v>239</v>
      </c>
      <c r="AE21" s="8" t="s">
        <v>560</v>
      </c>
      <c r="AF21" s="8" t="s">
        <v>239</v>
      </c>
      <c r="AG21" s="8" t="s">
        <v>240</v>
      </c>
      <c r="AH21" s="8" t="s">
        <v>239</v>
      </c>
      <c r="AI21" s="8">
        <v>35</v>
      </c>
      <c r="AJ21" s="8" t="s">
        <v>285</v>
      </c>
      <c r="AK21" s="8" t="s">
        <v>239</v>
      </c>
      <c r="AL21" s="8">
        <v>1000</v>
      </c>
      <c r="AM21" s="8" t="s">
        <v>241</v>
      </c>
      <c r="AN21" s="7" t="s">
        <v>286</v>
      </c>
      <c r="AO21" s="7"/>
      <c r="AP21" s="7"/>
      <c r="AQ21" s="7"/>
      <c r="AW21" s="8">
        <v>15</v>
      </c>
      <c r="AX21" s="8" t="s">
        <v>253</v>
      </c>
      <c r="AY21" s="8" t="s">
        <v>277</v>
      </c>
      <c r="AZ21" s="8" t="s">
        <v>294</v>
      </c>
      <c r="BB21" s="7" t="s">
        <v>287</v>
      </c>
      <c r="BC21" s="11">
        <v>1.23</v>
      </c>
      <c r="BD21" s="11">
        <v>0.17</v>
      </c>
      <c r="BE21" s="11"/>
      <c r="BF21" s="11">
        <v>1.1599999999999999</v>
      </c>
      <c r="BG21" s="11">
        <v>0.2</v>
      </c>
      <c r="BH21" s="11"/>
      <c r="BI21" s="11"/>
      <c r="BJ21" s="8">
        <v>2</v>
      </c>
      <c r="BP21" s="8" t="s">
        <v>240</v>
      </c>
      <c r="BR21" s="8" t="s">
        <v>293</v>
      </c>
      <c r="CG21" s="7" t="s">
        <v>237</v>
      </c>
      <c r="CH21" s="8" t="s">
        <v>240</v>
      </c>
      <c r="CJ21" s="8" t="s">
        <v>239</v>
      </c>
      <c r="CK21" s="8" t="s">
        <v>248</v>
      </c>
      <c r="CL21" s="8">
        <v>263</v>
      </c>
      <c r="CM21" s="8">
        <v>42</v>
      </c>
      <c r="CN21" s="8" t="s">
        <v>249</v>
      </c>
      <c r="CO21" s="8" t="s">
        <v>249</v>
      </c>
      <c r="CP21" s="8" t="s">
        <v>249</v>
      </c>
      <c r="CQ21" s="8" t="s">
        <v>288</v>
      </c>
      <c r="CR21" s="5" t="s">
        <v>289</v>
      </c>
      <c r="CS21" s="11"/>
      <c r="CT21" s="11"/>
      <c r="CU21" s="11"/>
      <c r="CV21" s="11"/>
      <c r="CW21" s="41">
        <v>40.5</v>
      </c>
      <c r="CX21" s="42">
        <v>10</v>
      </c>
      <c r="CY21" s="38"/>
      <c r="CZ21" s="28" t="str">
        <f t="shared" si="11"/>
        <v/>
      </c>
      <c r="DB21" s="11"/>
      <c r="DC21" s="43">
        <v>26</v>
      </c>
      <c r="DD21" s="29">
        <f t="shared" si="12"/>
        <v>61.904761904761905</v>
      </c>
      <c r="DE21" s="28" t="str">
        <f t="shared" si="13"/>
        <v/>
      </c>
      <c r="DF21" s="43">
        <v>100</v>
      </c>
      <c r="DG21" s="8">
        <v>305</v>
      </c>
      <c r="DI21" s="11"/>
      <c r="DJ21" s="11"/>
      <c r="DL21" s="6" t="s">
        <v>290</v>
      </c>
      <c r="DO21" s="7" t="s">
        <v>237</v>
      </c>
      <c r="DP21" s="7"/>
      <c r="DQ21" s="7"/>
      <c r="DR21" s="7"/>
      <c r="HS21" s="11"/>
      <c r="HT21" s="11"/>
      <c r="JU21" s="7" t="s">
        <v>252</v>
      </c>
    </row>
    <row r="22" spans="1:281" s="8" customFormat="1" ht="20" customHeight="1" x14ac:dyDescent="0.2">
      <c r="A22" s="35">
        <v>25</v>
      </c>
      <c r="B22" s="7" t="s">
        <v>679</v>
      </c>
      <c r="C22" s="8" t="s">
        <v>281</v>
      </c>
      <c r="D22" s="7" t="s">
        <v>231</v>
      </c>
      <c r="E22" s="8">
        <v>4</v>
      </c>
      <c r="F22" s="7" t="s">
        <v>237</v>
      </c>
      <c r="G22" s="7" t="s">
        <v>237</v>
      </c>
      <c r="H22" s="7">
        <v>25043416</v>
      </c>
      <c r="I22" s="7" t="s">
        <v>851</v>
      </c>
      <c r="J22" s="8" t="s">
        <v>282</v>
      </c>
      <c r="K22" s="8">
        <v>2014</v>
      </c>
      <c r="L22" s="9" t="s">
        <v>283</v>
      </c>
      <c r="M22" s="40"/>
      <c r="N22" s="8" t="s">
        <v>234</v>
      </c>
      <c r="O22" s="8" t="s">
        <v>293</v>
      </c>
      <c r="P22" s="37" t="s">
        <v>820</v>
      </c>
      <c r="Q22" s="37" t="s">
        <v>1006</v>
      </c>
      <c r="R22" s="37"/>
      <c r="S22" s="37"/>
      <c r="T22" s="37"/>
      <c r="U22" s="37"/>
      <c r="V22" s="8" t="s">
        <v>236</v>
      </c>
      <c r="W22" s="8" t="s">
        <v>237</v>
      </c>
      <c r="X22" s="7" t="s">
        <v>284</v>
      </c>
      <c r="Y22" s="8" t="s">
        <v>828</v>
      </c>
      <c r="Z22" s="8" t="s">
        <v>240</v>
      </c>
      <c r="AB22" s="8" t="s">
        <v>237</v>
      </c>
      <c r="AC22" s="7" t="s">
        <v>897</v>
      </c>
      <c r="AD22" s="8" t="s">
        <v>239</v>
      </c>
      <c r="AE22" s="8" t="s">
        <v>560</v>
      </c>
      <c r="AF22" s="8" t="s">
        <v>239</v>
      </c>
      <c r="AG22" s="8" t="s">
        <v>240</v>
      </c>
      <c r="AH22" s="8" t="s">
        <v>239</v>
      </c>
      <c r="AI22" s="8">
        <v>35</v>
      </c>
      <c r="AJ22" s="8" t="s">
        <v>285</v>
      </c>
      <c r="AK22" s="8" t="s">
        <v>239</v>
      </c>
      <c r="AL22" s="8">
        <v>1000</v>
      </c>
      <c r="AM22" s="8" t="s">
        <v>241</v>
      </c>
      <c r="AN22" s="7" t="s">
        <v>286</v>
      </c>
      <c r="AO22" s="7"/>
      <c r="AP22" s="7"/>
      <c r="AQ22" s="7"/>
      <c r="AW22" s="8">
        <v>15</v>
      </c>
      <c r="AX22" s="8" t="s">
        <v>253</v>
      </c>
      <c r="AY22" s="8" t="s">
        <v>277</v>
      </c>
      <c r="AZ22" s="8" t="s">
        <v>294</v>
      </c>
      <c r="BB22" s="7" t="s">
        <v>287</v>
      </c>
      <c r="BC22" s="11">
        <v>1.26</v>
      </c>
      <c r="BD22" s="11">
        <v>0.24</v>
      </c>
      <c r="BE22" s="11"/>
      <c r="BF22" s="11">
        <v>1.1599999999999999</v>
      </c>
      <c r="BG22" s="11">
        <v>0.2</v>
      </c>
      <c r="BH22" s="11"/>
      <c r="BI22" s="11"/>
      <c r="BJ22" s="8">
        <v>2</v>
      </c>
      <c r="BP22" s="8" t="s">
        <v>240</v>
      </c>
      <c r="BR22" s="8" t="s">
        <v>293</v>
      </c>
      <c r="CG22" s="7" t="s">
        <v>237</v>
      </c>
      <c r="CH22" s="8" t="s">
        <v>240</v>
      </c>
      <c r="CJ22" s="8" t="s">
        <v>239</v>
      </c>
      <c r="CK22" s="8" t="s">
        <v>248</v>
      </c>
      <c r="CL22" s="8">
        <v>20</v>
      </c>
      <c r="CM22" s="8">
        <v>42</v>
      </c>
      <c r="CN22" s="8" t="s">
        <v>291</v>
      </c>
      <c r="CO22" s="8" t="s">
        <v>291</v>
      </c>
      <c r="CP22" s="8" t="s">
        <v>291</v>
      </c>
      <c r="CQ22" s="8" t="s">
        <v>288</v>
      </c>
      <c r="CR22" s="5" t="s">
        <v>289</v>
      </c>
      <c r="CS22" s="11"/>
      <c r="CT22" s="11"/>
      <c r="CU22" s="11"/>
      <c r="CV22" s="11"/>
      <c r="CW22" s="41">
        <v>40.5</v>
      </c>
      <c r="CX22" s="42">
        <v>10</v>
      </c>
      <c r="CY22" s="38"/>
      <c r="CZ22" s="28" t="str">
        <f t="shared" si="11"/>
        <v/>
      </c>
      <c r="DB22" s="11"/>
      <c r="DC22" s="43">
        <v>26</v>
      </c>
      <c r="DD22" s="29">
        <f t="shared" si="12"/>
        <v>61.904761904761905</v>
      </c>
      <c r="DE22" s="28" t="str">
        <f t="shared" si="13"/>
        <v/>
      </c>
      <c r="DF22" s="43">
        <v>100</v>
      </c>
      <c r="DG22" s="8">
        <v>62</v>
      </c>
      <c r="DI22" s="11"/>
      <c r="DJ22" s="11"/>
      <c r="DL22" s="6" t="s">
        <v>290</v>
      </c>
      <c r="DO22" s="7" t="s">
        <v>237</v>
      </c>
      <c r="DP22" s="7"/>
      <c r="DQ22" s="7"/>
      <c r="DR22" s="7"/>
      <c r="HS22" s="11"/>
      <c r="HT22" s="11"/>
      <c r="JU22" s="7" t="s">
        <v>252</v>
      </c>
    </row>
    <row r="23" spans="1:281" s="8" customFormat="1" ht="20" customHeight="1" x14ac:dyDescent="0.2">
      <c r="A23" s="35">
        <v>25</v>
      </c>
      <c r="B23" s="7" t="s">
        <v>680</v>
      </c>
      <c r="C23" s="8" t="s">
        <v>281</v>
      </c>
      <c r="D23" s="7" t="s">
        <v>231</v>
      </c>
      <c r="E23" s="8">
        <v>4</v>
      </c>
      <c r="F23" s="7" t="s">
        <v>237</v>
      </c>
      <c r="G23" s="7" t="s">
        <v>237</v>
      </c>
      <c r="H23" s="7">
        <v>25043416</v>
      </c>
      <c r="I23" s="7" t="s">
        <v>852</v>
      </c>
      <c r="J23" s="8" t="s">
        <v>282</v>
      </c>
      <c r="K23" s="8">
        <v>2014</v>
      </c>
      <c r="L23" s="9" t="s">
        <v>283</v>
      </c>
      <c r="M23" s="40"/>
      <c r="N23" s="8" t="s">
        <v>234</v>
      </c>
      <c r="O23" s="8" t="s">
        <v>293</v>
      </c>
      <c r="P23" s="37" t="s">
        <v>820</v>
      </c>
      <c r="Q23" s="37" t="s">
        <v>1006</v>
      </c>
      <c r="R23" s="37"/>
      <c r="S23" s="37"/>
      <c r="T23" s="37"/>
      <c r="U23" s="37"/>
      <c r="V23" s="8" t="s">
        <v>236</v>
      </c>
      <c r="W23" s="8" t="s">
        <v>237</v>
      </c>
      <c r="X23" s="7" t="s">
        <v>284</v>
      </c>
      <c r="Y23" s="8" t="s">
        <v>828</v>
      </c>
      <c r="Z23" s="8" t="s">
        <v>240</v>
      </c>
      <c r="AB23" s="8" t="s">
        <v>237</v>
      </c>
      <c r="AC23" s="7" t="s">
        <v>897</v>
      </c>
      <c r="AD23" s="8" t="s">
        <v>239</v>
      </c>
      <c r="AE23" s="8" t="s">
        <v>560</v>
      </c>
      <c r="AF23" s="8" t="s">
        <v>239</v>
      </c>
      <c r="AG23" s="8" t="s">
        <v>240</v>
      </c>
      <c r="AH23" s="8" t="s">
        <v>239</v>
      </c>
      <c r="AI23" s="8">
        <v>35</v>
      </c>
      <c r="AJ23" s="8" t="s">
        <v>285</v>
      </c>
      <c r="AK23" s="8" t="s">
        <v>239</v>
      </c>
      <c r="AL23" s="8">
        <v>1000</v>
      </c>
      <c r="AM23" s="8" t="s">
        <v>241</v>
      </c>
      <c r="AN23" s="7" t="s">
        <v>286</v>
      </c>
      <c r="AO23" s="7"/>
      <c r="AP23" s="7"/>
      <c r="AQ23" s="7"/>
      <c r="AW23" s="8">
        <v>15</v>
      </c>
      <c r="AX23" s="8" t="s">
        <v>253</v>
      </c>
      <c r="AY23" s="8" t="s">
        <v>277</v>
      </c>
      <c r="AZ23" s="8" t="s">
        <v>294</v>
      </c>
      <c r="BB23" s="7" t="s">
        <v>287</v>
      </c>
      <c r="BC23" s="11">
        <v>1.25</v>
      </c>
      <c r="BD23" s="11">
        <v>0.21</v>
      </c>
      <c r="BE23" s="11"/>
      <c r="BF23" s="11">
        <v>1.1599999999999999</v>
      </c>
      <c r="BG23" s="11">
        <v>0.2</v>
      </c>
      <c r="BH23" s="11"/>
      <c r="BI23" s="11"/>
      <c r="BJ23" s="8">
        <v>2</v>
      </c>
      <c r="BP23" s="8" t="s">
        <v>240</v>
      </c>
      <c r="BR23" s="8" t="s">
        <v>293</v>
      </c>
      <c r="CG23" s="7" t="s">
        <v>237</v>
      </c>
      <c r="CH23" s="8" t="s">
        <v>240</v>
      </c>
      <c r="CJ23" s="8" t="s">
        <v>239</v>
      </c>
      <c r="CK23" s="8" t="s">
        <v>248</v>
      </c>
      <c r="CL23" s="8">
        <v>11</v>
      </c>
      <c r="CM23" s="8">
        <v>42</v>
      </c>
      <c r="CN23" s="8" t="s">
        <v>292</v>
      </c>
      <c r="CO23" s="8" t="s">
        <v>292</v>
      </c>
      <c r="CP23" s="8" t="s">
        <v>292</v>
      </c>
      <c r="CQ23" s="8" t="s">
        <v>288</v>
      </c>
      <c r="CR23" s="5" t="s">
        <v>289</v>
      </c>
      <c r="CS23" s="11"/>
      <c r="CT23" s="11"/>
      <c r="CU23" s="11"/>
      <c r="CV23" s="11"/>
      <c r="CW23" s="41">
        <v>40.5</v>
      </c>
      <c r="CX23" s="42">
        <v>10</v>
      </c>
      <c r="CY23" s="38"/>
      <c r="CZ23" s="28" t="str">
        <f t="shared" si="11"/>
        <v/>
      </c>
      <c r="DB23" s="11"/>
      <c r="DC23" s="43">
        <v>26</v>
      </c>
      <c r="DD23" s="29">
        <f t="shared" si="12"/>
        <v>61.904761904761905</v>
      </c>
      <c r="DE23" s="28" t="str">
        <f t="shared" si="13"/>
        <v/>
      </c>
      <c r="DF23" s="43">
        <v>100</v>
      </c>
      <c r="DG23" s="8">
        <v>53</v>
      </c>
      <c r="DI23" s="11"/>
      <c r="DJ23" s="11"/>
      <c r="DL23" s="6" t="s">
        <v>290</v>
      </c>
      <c r="DO23" s="7" t="s">
        <v>237</v>
      </c>
      <c r="DP23" s="7"/>
      <c r="DQ23" s="7"/>
      <c r="DR23" s="7"/>
      <c r="HS23" s="11"/>
      <c r="HT23" s="11"/>
      <c r="JU23" s="7" t="s">
        <v>252</v>
      </c>
    </row>
    <row r="24" spans="1:281" s="56" customFormat="1" ht="20" customHeight="1" x14ac:dyDescent="0.2">
      <c r="A24" s="54"/>
      <c r="L24" s="57"/>
      <c r="N24" s="55"/>
      <c r="O24" s="55"/>
      <c r="P24" s="58"/>
      <c r="Q24" s="58"/>
      <c r="R24" s="58"/>
      <c r="S24" s="58"/>
      <c r="T24" s="58"/>
      <c r="U24" s="58"/>
      <c r="X24" s="55"/>
      <c r="Y24" s="55"/>
      <c r="AC24" s="55"/>
      <c r="AD24" s="55"/>
      <c r="AM24" s="55"/>
      <c r="AN24" s="55"/>
      <c r="AO24" s="55"/>
      <c r="AP24" s="55"/>
      <c r="AQ24" s="55"/>
      <c r="AS24" s="55"/>
      <c r="AT24" s="55"/>
      <c r="AU24" s="55"/>
      <c r="AV24" s="55"/>
      <c r="AX24" s="55"/>
      <c r="AZ24" s="55"/>
      <c r="BR24" s="55"/>
      <c r="CG24" s="55"/>
      <c r="CK24" s="55"/>
      <c r="CN24" s="55"/>
      <c r="CO24" s="55"/>
      <c r="CP24" s="55"/>
      <c r="DH24" s="55"/>
      <c r="DO24" s="55"/>
      <c r="DP24" s="55"/>
      <c r="DQ24" s="55"/>
      <c r="DR24" s="55"/>
    </row>
    <row r="25" spans="1:281" s="8" customFormat="1" ht="20" customHeight="1" x14ac:dyDescent="0.2">
      <c r="A25" s="35">
        <v>61</v>
      </c>
      <c r="B25" s="7" t="s">
        <v>681</v>
      </c>
      <c r="C25" s="8" t="s">
        <v>299</v>
      </c>
      <c r="D25" s="8" t="s">
        <v>231</v>
      </c>
      <c r="E25" s="8">
        <v>6</v>
      </c>
      <c r="F25" s="7" t="s">
        <v>239</v>
      </c>
      <c r="G25" s="7" t="s">
        <v>237</v>
      </c>
      <c r="H25" s="7">
        <v>26304151</v>
      </c>
      <c r="I25" s="7" t="s">
        <v>853</v>
      </c>
      <c r="J25" s="8" t="s">
        <v>300</v>
      </c>
      <c r="K25" s="8">
        <v>2015</v>
      </c>
      <c r="L25" s="9" t="s">
        <v>301</v>
      </c>
      <c r="N25" s="8" t="s">
        <v>264</v>
      </c>
      <c r="O25" s="8" t="s">
        <v>298</v>
      </c>
      <c r="P25" s="37" t="s">
        <v>819</v>
      </c>
      <c r="Q25" s="37" t="s">
        <v>1008</v>
      </c>
      <c r="R25" s="37"/>
      <c r="S25" s="37"/>
      <c r="T25" s="37"/>
      <c r="U25" s="37" t="s">
        <v>298</v>
      </c>
      <c r="V25" s="8" t="s">
        <v>236</v>
      </c>
      <c r="W25" s="8" t="s">
        <v>239</v>
      </c>
      <c r="X25" s="8" t="s">
        <v>266</v>
      </c>
      <c r="Y25" s="8" t="s">
        <v>828</v>
      </c>
      <c r="Z25" s="8" t="s">
        <v>240</v>
      </c>
      <c r="AB25" s="8" t="s">
        <v>237</v>
      </c>
      <c r="AC25" s="7" t="s">
        <v>914</v>
      </c>
      <c r="AD25" s="8" t="s">
        <v>239</v>
      </c>
      <c r="AE25" s="8" t="s">
        <v>872</v>
      </c>
      <c r="AF25" s="8" t="s">
        <v>239</v>
      </c>
      <c r="AG25" s="8" t="s">
        <v>240</v>
      </c>
      <c r="AH25" s="8" t="s">
        <v>239</v>
      </c>
      <c r="AI25" s="8">
        <v>68</v>
      </c>
      <c r="AK25" s="8" t="s">
        <v>239</v>
      </c>
      <c r="AL25" s="8">
        <v>2000</v>
      </c>
      <c r="AM25" s="8" t="s">
        <v>259</v>
      </c>
      <c r="AN25" s="7" t="s">
        <v>302</v>
      </c>
      <c r="AO25" s="7"/>
      <c r="AP25" s="7"/>
      <c r="AQ25" s="7"/>
      <c r="AR25" s="8">
        <v>576</v>
      </c>
      <c r="AW25" s="7">
        <v>20</v>
      </c>
      <c r="AX25" s="8" t="s">
        <v>244</v>
      </c>
      <c r="AY25" s="8" t="s">
        <v>245</v>
      </c>
      <c r="BB25" s="44" t="s">
        <v>246</v>
      </c>
      <c r="BC25" s="10">
        <v>7.0330000000000004</v>
      </c>
      <c r="BD25" s="10">
        <v>3.5649999999999999</v>
      </c>
      <c r="BE25" s="10"/>
      <c r="BF25" s="10">
        <v>8.1050000000000004</v>
      </c>
      <c r="BG25" s="10">
        <v>4.5880000000000001</v>
      </c>
      <c r="BH25" s="10"/>
      <c r="BI25" s="10">
        <v>0.86</v>
      </c>
      <c r="BJ25" s="8">
        <v>2</v>
      </c>
      <c r="BK25" s="5" t="str">
        <f t="shared" ref="BK25:BK27" si="14">IF(BC25&gt;BF25,"Case_greater_than_control","Control_greater_than_case")</f>
        <v>Control_greater_than_case</v>
      </c>
      <c r="BP25" s="7" t="s">
        <v>239</v>
      </c>
      <c r="BR25" s="7" t="s">
        <v>262</v>
      </c>
      <c r="BT25" s="41">
        <f>0.582*100</f>
        <v>58.199999999999996</v>
      </c>
      <c r="BU25" s="41">
        <v>8.5</v>
      </c>
      <c r="BV25" s="41">
        <v>54</v>
      </c>
      <c r="BW25" s="41">
        <v>9.6</v>
      </c>
      <c r="BX25" s="41">
        <v>38.4</v>
      </c>
      <c r="BY25" s="41">
        <v>7.9</v>
      </c>
      <c r="BZ25" s="41">
        <v>44.2</v>
      </c>
      <c r="CA25" s="41">
        <v>8.6</v>
      </c>
      <c r="CG25" s="7" t="s">
        <v>237</v>
      </c>
      <c r="CH25" s="7" t="s">
        <v>239</v>
      </c>
      <c r="CI25" s="7" t="s">
        <v>266</v>
      </c>
      <c r="CJ25" s="7" t="s">
        <v>239</v>
      </c>
      <c r="CK25" s="7" t="s">
        <v>303</v>
      </c>
      <c r="CL25" s="8">
        <v>30</v>
      </c>
      <c r="CM25" s="8">
        <v>17</v>
      </c>
      <c r="CN25" s="7" t="s">
        <v>291</v>
      </c>
      <c r="CO25" s="7" t="s">
        <v>291</v>
      </c>
      <c r="CP25" s="7" t="s">
        <v>291</v>
      </c>
      <c r="CQ25" s="7" t="s">
        <v>304</v>
      </c>
      <c r="CR25" s="7" t="s">
        <v>305</v>
      </c>
      <c r="CS25" s="7">
        <v>4</v>
      </c>
      <c r="CT25" s="7"/>
      <c r="CU25" s="42">
        <v>51.3</v>
      </c>
      <c r="CV25" s="42">
        <v>9.6</v>
      </c>
      <c r="CW25" s="42">
        <v>46.3</v>
      </c>
      <c r="CX25" s="42">
        <v>11.7</v>
      </c>
      <c r="CY25" s="27">
        <f t="shared" ref="CY25:CY57" si="15">IF(OR(CU25="",CW25="",CL25="",CM25="",CL25+CM25=0),"",(CU25*CL25+CW25*CM25)/(CL25+CM25))</f>
        <v>49.491489361702129</v>
      </c>
      <c r="CZ25" s="28">
        <f t="shared" ref="CZ25:CZ27" si="16">IF(OR(CY25="",CV25="",CX25=""),"",SQRT(((CL25-1)*(CV25^2) + (CM25-1)*(CX25^2) + CL25*(CU25-CY25)^2 + CM25*(CW25-CY25)^2) / (CL25+CM25-1)))</f>
        <v>10.564662791944334</v>
      </c>
      <c r="DA25" s="7">
        <v>23</v>
      </c>
      <c r="DB25" s="29">
        <f t="shared" ref="DB25:DB57" si="17">IF(DA25="","",(DA25/CL25)*100)</f>
        <v>76.666666666666671</v>
      </c>
      <c r="DC25" s="43">
        <v>9</v>
      </c>
      <c r="DD25" s="29">
        <f t="shared" ref="DD25:DD57" si="18">IF(DC25="","",(DC25/CM25)*100)</f>
        <v>52.941176470588239</v>
      </c>
      <c r="DE25" s="28">
        <f t="shared" ref="DE25:DE27" si="19">IF(AND(DA25&lt;&gt;"",DC25&lt;&gt;""),(DA25+DC25)/(CL25+CM25)*100,
   IF(AND(DB25&lt;&gt;"",DD25&lt;&gt;""),(DB25*CL25 + DD25*CM25)/(CL25+CM25),
   ""))</f>
        <v>68.085106382978722</v>
      </c>
      <c r="DG25" s="6">
        <f t="shared" ref="DG25:DG57" si="20">SUM(CL25,CM25)</f>
        <v>47</v>
      </c>
      <c r="DH25" s="7" t="s">
        <v>240</v>
      </c>
      <c r="DL25" s="5" t="s">
        <v>306</v>
      </c>
      <c r="DO25" s="7" t="s">
        <v>239</v>
      </c>
      <c r="DP25" s="7">
        <v>6</v>
      </c>
      <c r="DQ25" s="7">
        <v>4</v>
      </c>
      <c r="DR25" s="7">
        <v>6.5</v>
      </c>
      <c r="DS25" s="11">
        <f>(DQ25 + 2*DP25+DR25)/4</f>
        <v>5.625</v>
      </c>
      <c r="DT25" s="11">
        <f>SQRT(((DQ25-2*DP25+DR25)^2)/4 + (DR25-DQ25)^2/12)</f>
        <v>1.0408329997330665</v>
      </c>
      <c r="EO25" s="10">
        <v>28.727</v>
      </c>
      <c r="EP25" s="10">
        <v>7.734</v>
      </c>
      <c r="EQ25" s="10">
        <v>25.687999999999999</v>
      </c>
      <c r="ER25" s="10">
        <v>9.2210000000000001</v>
      </c>
      <c r="FI25" s="10">
        <v>127.687</v>
      </c>
      <c r="FJ25" s="10">
        <v>25.771000000000001</v>
      </c>
      <c r="FK25" s="45">
        <v>148.22200000000001</v>
      </c>
      <c r="FL25" s="10">
        <v>78.718999999999994</v>
      </c>
      <c r="GS25" s="10">
        <v>11.471</v>
      </c>
      <c r="GT25" s="10">
        <v>2.7410000000000001</v>
      </c>
      <c r="GU25" s="10">
        <v>10.733000000000001</v>
      </c>
      <c r="GV25" s="10">
        <v>3.3210000000000002</v>
      </c>
      <c r="HA25" s="10">
        <v>60</v>
      </c>
      <c r="HB25" s="10">
        <v>12.353999999999999</v>
      </c>
      <c r="HC25" s="10">
        <v>45.633000000000003</v>
      </c>
      <c r="HD25" s="10">
        <v>14.058</v>
      </c>
      <c r="HE25" s="10"/>
      <c r="HF25" s="10"/>
      <c r="HG25" s="10"/>
      <c r="HH25" s="10"/>
      <c r="HM25" s="10"/>
      <c r="HN25" s="10"/>
      <c r="HO25" s="10"/>
      <c r="HP25" s="10"/>
      <c r="HU25" s="10">
        <v>70</v>
      </c>
      <c r="HV25" s="10">
        <v>0</v>
      </c>
      <c r="HW25" s="10">
        <v>61.381</v>
      </c>
      <c r="HX25" s="10">
        <v>4.8109999999999999</v>
      </c>
      <c r="IO25" s="10">
        <v>3.4710000000000001</v>
      </c>
      <c r="IP25" s="10">
        <v>1.8069999999999999</v>
      </c>
      <c r="IQ25" s="10">
        <v>5.6669999999999998</v>
      </c>
      <c r="IR25" s="10">
        <v>3.5070000000000001</v>
      </c>
      <c r="IS25" s="10">
        <v>5.1180000000000003</v>
      </c>
      <c r="IT25" s="10">
        <v>3.79</v>
      </c>
      <c r="IU25" s="10">
        <v>7.1</v>
      </c>
      <c r="IV25" s="10">
        <v>5.4480000000000004</v>
      </c>
      <c r="JU25" s="7" t="s">
        <v>252</v>
      </c>
    </row>
    <row r="26" spans="1:281" s="8" customFormat="1" ht="20" customHeight="1" x14ac:dyDescent="0.2">
      <c r="A26" s="35">
        <v>61</v>
      </c>
      <c r="B26" s="7" t="s">
        <v>682</v>
      </c>
      <c r="C26" s="8" t="s">
        <v>299</v>
      </c>
      <c r="D26" s="8" t="s">
        <v>231</v>
      </c>
      <c r="E26" s="8">
        <v>6</v>
      </c>
      <c r="F26" s="7" t="s">
        <v>239</v>
      </c>
      <c r="G26" s="7" t="s">
        <v>237</v>
      </c>
      <c r="H26" s="7">
        <v>26304151</v>
      </c>
      <c r="I26" s="7" t="s">
        <v>854</v>
      </c>
      <c r="J26" s="8" t="s">
        <v>300</v>
      </c>
      <c r="K26" s="8">
        <v>2015</v>
      </c>
      <c r="L26" s="9" t="s">
        <v>301</v>
      </c>
      <c r="N26" s="8" t="s">
        <v>295</v>
      </c>
      <c r="O26" s="8" t="s">
        <v>279</v>
      </c>
      <c r="P26" s="37" t="s">
        <v>818</v>
      </c>
      <c r="Q26" s="37" t="s">
        <v>817</v>
      </c>
      <c r="R26" s="37"/>
      <c r="S26" s="37"/>
      <c r="T26" s="37"/>
      <c r="U26" s="37"/>
      <c r="V26" s="8" t="s">
        <v>236</v>
      </c>
      <c r="W26" s="8" t="s">
        <v>239</v>
      </c>
      <c r="X26" s="8" t="s">
        <v>266</v>
      </c>
      <c r="Y26" s="8" t="s">
        <v>828</v>
      </c>
      <c r="Z26" s="8" t="s">
        <v>240</v>
      </c>
      <c r="AB26" s="7" t="s">
        <v>239</v>
      </c>
      <c r="AC26" s="8" t="s">
        <v>915</v>
      </c>
      <c r="AD26" s="8" t="s">
        <v>239</v>
      </c>
      <c r="AE26" s="8" t="s">
        <v>872</v>
      </c>
      <c r="AF26" s="8" t="s">
        <v>239</v>
      </c>
      <c r="AG26" s="8" t="s">
        <v>240</v>
      </c>
      <c r="AH26" s="8" t="s">
        <v>239</v>
      </c>
      <c r="AI26" s="8">
        <v>68</v>
      </c>
      <c r="AK26" s="8" t="s">
        <v>239</v>
      </c>
      <c r="AL26" s="8">
        <v>2000</v>
      </c>
      <c r="AM26" s="8" t="s">
        <v>259</v>
      </c>
      <c r="AN26" s="7" t="s">
        <v>307</v>
      </c>
      <c r="AO26" s="7"/>
      <c r="AP26" s="7"/>
      <c r="AQ26" s="7"/>
      <c r="AR26" s="8">
        <v>400</v>
      </c>
      <c r="AW26" s="7">
        <v>20</v>
      </c>
      <c r="AX26" s="8" t="s">
        <v>244</v>
      </c>
      <c r="AY26" s="8" t="s">
        <v>245</v>
      </c>
      <c r="BB26" s="44" t="s">
        <v>246</v>
      </c>
      <c r="BC26" s="10">
        <v>4.3209999999999997</v>
      </c>
      <c r="BD26" s="10">
        <v>2.238</v>
      </c>
      <c r="BE26" s="10"/>
      <c r="BF26" s="10">
        <v>4.8630000000000004</v>
      </c>
      <c r="BG26" s="10">
        <v>1.8939999999999999</v>
      </c>
      <c r="BH26" s="10"/>
      <c r="BI26" s="10">
        <v>0.38100000000000001</v>
      </c>
      <c r="BJ26" s="8">
        <v>2</v>
      </c>
      <c r="BK26" s="5" t="str">
        <f t="shared" si="14"/>
        <v>Control_greater_than_case</v>
      </c>
      <c r="BP26" s="7" t="s">
        <v>239</v>
      </c>
      <c r="BR26" s="7" t="s">
        <v>262</v>
      </c>
      <c r="BT26" s="41">
        <v>35</v>
      </c>
      <c r="BU26" s="41">
        <v>9.5</v>
      </c>
      <c r="BV26" s="41">
        <v>32.299999999999997</v>
      </c>
      <c r="BW26" s="41">
        <v>3.6</v>
      </c>
      <c r="BX26" s="41">
        <v>53.3</v>
      </c>
      <c r="BY26" s="41">
        <v>13.5</v>
      </c>
      <c r="BZ26" s="41">
        <v>57.5</v>
      </c>
      <c r="CA26" s="41">
        <v>6.9</v>
      </c>
      <c r="CG26" s="7" t="s">
        <v>237</v>
      </c>
      <c r="CH26" s="7" t="s">
        <v>239</v>
      </c>
      <c r="CI26" s="7" t="s">
        <v>266</v>
      </c>
      <c r="CJ26" s="7" t="s">
        <v>239</v>
      </c>
      <c r="CK26" s="7" t="s">
        <v>303</v>
      </c>
      <c r="CL26" s="8">
        <v>30</v>
      </c>
      <c r="CM26" s="8">
        <v>17</v>
      </c>
      <c r="CN26" s="7" t="s">
        <v>291</v>
      </c>
      <c r="CO26" s="7" t="s">
        <v>291</v>
      </c>
      <c r="CP26" s="7" t="s">
        <v>291</v>
      </c>
      <c r="CQ26" s="7" t="s">
        <v>304</v>
      </c>
      <c r="CR26" s="7" t="s">
        <v>305</v>
      </c>
      <c r="CS26" s="8">
        <v>4</v>
      </c>
      <c r="CU26" s="42">
        <v>51.3</v>
      </c>
      <c r="CV26" s="42">
        <v>9.6</v>
      </c>
      <c r="CW26" s="42">
        <v>46.3</v>
      </c>
      <c r="CX26" s="42">
        <v>11.7</v>
      </c>
      <c r="CY26" s="27">
        <f t="shared" si="15"/>
        <v>49.491489361702129</v>
      </c>
      <c r="CZ26" s="28">
        <f t="shared" si="16"/>
        <v>10.564662791944334</v>
      </c>
      <c r="DA26" s="7">
        <v>23</v>
      </c>
      <c r="DB26" s="29">
        <f t="shared" si="17"/>
        <v>76.666666666666671</v>
      </c>
      <c r="DC26" s="43">
        <v>9</v>
      </c>
      <c r="DD26" s="29">
        <f t="shared" si="18"/>
        <v>52.941176470588239</v>
      </c>
      <c r="DE26" s="28">
        <f t="shared" si="19"/>
        <v>68.085106382978722</v>
      </c>
      <c r="DG26" s="6">
        <f t="shared" si="20"/>
        <v>47</v>
      </c>
      <c r="DH26" s="7" t="s">
        <v>240</v>
      </c>
      <c r="DL26" s="5" t="s">
        <v>306</v>
      </c>
      <c r="DO26" s="7" t="s">
        <v>239</v>
      </c>
      <c r="DP26" s="7">
        <v>6</v>
      </c>
      <c r="DQ26" s="7">
        <v>4</v>
      </c>
      <c r="DR26" s="7">
        <v>6.5</v>
      </c>
      <c r="DS26" s="11">
        <f t="shared" ref="DS26:DS27" si="21">(DQ26 + 2*DP26+DR26)/4</f>
        <v>5.625</v>
      </c>
      <c r="DT26" s="11">
        <f t="shared" ref="DT26:DT27" si="22">SQRT(((DQ26-2*DP26+DR26)^2)/4 + (DR26-DQ26)^2/12)</f>
        <v>1.0408329997330665</v>
      </c>
      <c r="EO26" s="10">
        <v>28.727</v>
      </c>
      <c r="EP26" s="10">
        <v>7.734</v>
      </c>
      <c r="EQ26" s="10">
        <v>25.687999999999999</v>
      </c>
      <c r="ER26" s="10">
        <v>9.2210000000000001</v>
      </c>
      <c r="FI26" s="10">
        <v>127.687</v>
      </c>
      <c r="FJ26" s="10">
        <v>25.771000000000001</v>
      </c>
      <c r="FK26" s="45">
        <v>148.22200000000001</v>
      </c>
      <c r="FL26" s="10">
        <v>78.718999999999994</v>
      </c>
      <c r="GS26" s="10">
        <v>11.471</v>
      </c>
      <c r="GT26" s="10">
        <v>2.7410000000000001</v>
      </c>
      <c r="GU26" s="10">
        <v>10.733000000000001</v>
      </c>
      <c r="GV26" s="10">
        <v>3.3210000000000002</v>
      </c>
      <c r="HA26" s="10">
        <v>60</v>
      </c>
      <c r="HB26" s="10">
        <v>12.353999999999999</v>
      </c>
      <c r="HC26" s="10">
        <v>45.633000000000003</v>
      </c>
      <c r="HD26" s="10">
        <v>14.058</v>
      </c>
      <c r="HE26" s="10"/>
      <c r="HF26" s="10"/>
      <c r="HG26" s="10"/>
      <c r="HH26" s="10"/>
      <c r="HM26" s="10"/>
      <c r="HN26" s="10"/>
      <c r="HO26" s="10"/>
      <c r="HP26" s="10"/>
      <c r="HU26" s="10">
        <v>70</v>
      </c>
      <c r="HV26" s="10">
        <v>0</v>
      </c>
      <c r="HW26" s="10">
        <v>61.381</v>
      </c>
      <c r="HX26" s="10">
        <v>4.8109999999999999</v>
      </c>
      <c r="IO26" s="10">
        <v>3.4710000000000001</v>
      </c>
      <c r="IP26" s="10">
        <v>1.8069999999999999</v>
      </c>
      <c r="IQ26" s="10">
        <v>5.6669999999999998</v>
      </c>
      <c r="IR26" s="10">
        <v>3.5070000000000001</v>
      </c>
      <c r="IS26" s="10">
        <v>5.1180000000000003</v>
      </c>
      <c r="IT26" s="10">
        <v>3.79</v>
      </c>
      <c r="IU26" s="10">
        <v>7.1</v>
      </c>
      <c r="IV26" s="10">
        <v>5.4480000000000004</v>
      </c>
      <c r="JU26" s="7" t="s">
        <v>252</v>
      </c>
    </row>
    <row r="27" spans="1:281" s="64" customFormat="1" ht="20" customHeight="1" x14ac:dyDescent="0.2">
      <c r="A27" s="106">
        <v>61</v>
      </c>
      <c r="B27" s="71" t="s">
        <v>683</v>
      </c>
      <c r="C27" s="64" t="s">
        <v>299</v>
      </c>
      <c r="D27" s="64" t="s">
        <v>231</v>
      </c>
      <c r="E27" s="64">
        <v>6</v>
      </c>
      <c r="F27" s="71" t="s">
        <v>239</v>
      </c>
      <c r="G27" s="71" t="s">
        <v>237</v>
      </c>
      <c r="H27" s="71">
        <v>26304151</v>
      </c>
      <c r="I27" s="71" t="s">
        <v>855</v>
      </c>
      <c r="J27" s="64" t="s">
        <v>300</v>
      </c>
      <c r="K27" s="64">
        <v>2015</v>
      </c>
      <c r="L27" s="107" t="s">
        <v>301</v>
      </c>
      <c r="N27" s="64" t="s">
        <v>234</v>
      </c>
      <c r="O27" s="64" t="s">
        <v>265</v>
      </c>
      <c r="P27" s="112" t="s">
        <v>817</v>
      </c>
      <c r="Q27" s="112" t="s">
        <v>817</v>
      </c>
      <c r="R27" s="112"/>
      <c r="S27" s="112"/>
      <c r="T27" s="112"/>
      <c r="U27" s="112"/>
      <c r="V27" s="64" t="s">
        <v>236</v>
      </c>
      <c r="W27" s="64" t="s">
        <v>239</v>
      </c>
      <c r="X27" s="64" t="s">
        <v>266</v>
      </c>
      <c r="Y27" s="64" t="s">
        <v>828</v>
      </c>
      <c r="Z27" s="64" t="s">
        <v>240</v>
      </c>
      <c r="AB27" s="64" t="s">
        <v>237</v>
      </c>
      <c r="AC27" s="64" t="s">
        <v>916</v>
      </c>
      <c r="AD27" s="64" t="s">
        <v>239</v>
      </c>
      <c r="AE27" s="64" t="s">
        <v>872</v>
      </c>
      <c r="AF27" s="64" t="s">
        <v>239</v>
      </c>
      <c r="AG27" s="64" t="s">
        <v>240</v>
      </c>
      <c r="AH27" s="64" t="s">
        <v>239</v>
      </c>
      <c r="AI27" s="64">
        <v>68</v>
      </c>
      <c r="AK27" s="64" t="s">
        <v>239</v>
      </c>
      <c r="AL27" s="64">
        <v>2000</v>
      </c>
      <c r="AM27" s="64" t="s">
        <v>259</v>
      </c>
      <c r="AN27" s="71" t="s">
        <v>308</v>
      </c>
      <c r="AO27" s="71"/>
      <c r="AP27" s="71"/>
      <c r="AQ27" s="71"/>
      <c r="AR27" s="64">
        <v>432</v>
      </c>
      <c r="AW27" s="71">
        <v>20</v>
      </c>
      <c r="AX27" s="64" t="s">
        <v>244</v>
      </c>
      <c r="AY27" s="64" t="s">
        <v>245</v>
      </c>
      <c r="BB27" s="113" t="s">
        <v>246</v>
      </c>
      <c r="BC27" s="114">
        <v>5.3209999999999997</v>
      </c>
      <c r="BD27" s="114">
        <v>1.617</v>
      </c>
      <c r="BE27" s="114"/>
      <c r="BF27" s="114">
        <v>5.476</v>
      </c>
      <c r="BG27" s="114">
        <v>1.571</v>
      </c>
      <c r="BH27" s="114"/>
      <c r="BI27" s="114">
        <v>0.96499999999999997</v>
      </c>
      <c r="BJ27" s="64">
        <v>2</v>
      </c>
      <c r="BK27" s="73" t="str">
        <f t="shared" si="14"/>
        <v>Control_greater_than_case</v>
      </c>
      <c r="BP27" s="71" t="s">
        <v>239</v>
      </c>
      <c r="BR27" s="71" t="s">
        <v>262</v>
      </c>
      <c r="BT27" s="115">
        <v>49.9</v>
      </c>
      <c r="BU27" s="115">
        <v>3.4</v>
      </c>
      <c r="BV27" s="115">
        <v>49.6</v>
      </c>
      <c r="BW27" s="115">
        <v>5.9</v>
      </c>
      <c r="BX27" s="115">
        <v>33.4</v>
      </c>
      <c r="BY27" s="115">
        <v>8.1</v>
      </c>
      <c r="BZ27" s="115">
        <v>34.799999999999997</v>
      </c>
      <c r="CA27" s="115">
        <v>6.9</v>
      </c>
      <c r="CG27" s="71" t="s">
        <v>237</v>
      </c>
      <c r="CH27" s="71" t="s">
        <v>239</v>
      </c>
      <c r="CI27" s="71" t="s">
        <v>266</v>
      </c>
      <c r="CJ27" s="71" t="s">
        <v>239</v>
      </c>
      <c r="CK27" s="71" t="s">
        <v>303</v>
      </c>
      <c r="CL27" s="64">
        <v>30</v>
      </c>
      <c r="CM27" s="64">
        <v>17</v>
      </c>
      <c r="CN27" s="71" t="s">
        <v>291</v>
      </c>
      <c r="CO27" s="71" t="s">
        <v>291</v>
      </c>
      <c r="CP27" s="71" t="s">
        <v>291</v>
      </c>
      <c r="CQ27" s="71" t="s">
        <v>304</v>
      </c>
      <c r="CR27" s="71" t="s">
        <v>305</v>
      </c>
      <c r="CS27" s="64">
        <v>4</v>
      </c>
      <c r="CU27" s="116">
        <v>51.3</v>
      </c>
      <c r="CV27" s="116">
        <v>9.6</v>
      </c>
      <c r="CW27" s="116">
        <v>46.3</v>
      </c>
      <c r="CX27" s="116">
        <v>11.7</v>
      </c>
      <c r="CY27" s="79">
        <f t="shared" si="15"/>
        <v>49.491489361702129</v>
      </c>
      <c r="CZ27" s="80">
        <f t="shared" si="16"/>
        <v>10.564662791944334</v>
      </c>
      <c r="DA27" s="71">
        <v>23</v>
      </c>
      <c r="DB27" s="81">
        <f t="shared" si="17"/>
        <v>76.666666666666671</v>
      </c>
      <c r="DC27" s="117">
        <v>9</v>
      </c>
      <c r="DD27" s="81">
        <f t="shared" si="18"/>
        <v>52.941176470588239</v>
      </c>
      <c r="DE27" s="80">
        <f t="shared" si="19"/>
        <v>68.085106382978722</v>
      </c>
      <c r="DG27" s="70">
        <f t="shared" si="20"/>
        <v>47</v>
      </c>
      <c r="DH27" s="71" t="s">
        <v>240</v>
      </c>
      <c r="DL27" s="73" t="s">
        <v>306</v>
      </c>
      <c r="DO27" s="71" t="s">
        <v>239</v>
      </c>
      <c r="DP27" s="71">
        <v>6</v>
      </c>
      <c r="DQ27" s="71">
        <v>4</v>
      </c>
      <c r="DR27" s="71">
        <v>6.5</v>
      </c>
      <c r="DS27" s="65">
        <f t="shared" si="21"/>
        <v>5.625</v>
      </c>
      <c r="DT27" s="65">
        <f t="shared" si="22"/>
        <v>1.0408329997330665</v>
      </c>
      <c r="EO27" s="114">
        <v>28.727</v>
      </c>
      <c r="EP27" s="114">
        <v>7.734</v>
      </c>
      <c r="EQ27" s="114">
        <v>25.687999999999999</v>
      </c>
      <c r="ER27" s="114">
        <v>9.2210000000000001</v>
      </c>
      <c r="FI27" s="114">
        <v>127.687</v>
      </c>
      <c r="FJ27" s="114">
        <v>25.771000000000001</v>
      </c>
      <c r="FK27" s="118">
        <v>148.22200000000001</v>
      </c>
      <c r="FL27" s="114">
        <v>78.718999999999994</v>
      </c>
      <c r="GS27" s="114">
        <v>11.471</v>
      </c>
      <c r="GT27" s="114">
        <v>2.7410000000000001</v>
      </c>
      <c r="GU27" s="114">
        <v>10.733000000000001</v>
      </c>
      <c r="GV27" s="114">
        <v>3.3210000000000002</v>
      </c>
      <c r="HA27" s="114">
        <v>60</v>
      </c>
      <c r="HB27" s="114">
        <v>12.353999999999999</v>
      </c>
      <c r="HC27" s="114">
        <v>45.633000000000003</v>
      </c>
      <c r="HD27" s="114">
        <v>14.058</v>
      </c>
      <c r="HE27" s="114"/>
      <c r="HF27" s="114"/>
      <c r="HG27" s="114"/>
      <c r="HH27" s="114"/>
      <c r="HM27" s="114"/>
      <c r="HN27" s="114"/>
      <c r="HO27" s="114"/>
      <c r="HP27" s="114"/>
      <c r="HU27" s="114">
        <v>70</v>
      </c>
      <c r="HV27" s="114">
        <v>0</v>
      </c>
      <c r="HW27" s="114">
        <v>61.381</v>
      </c>
      <c r="HX27" s="114">
        <v>4.8109999999999999</v>
      </c>
      <c r="IO27" s="114">
        <v>3.4710000000000001</v>
      </c>
      <c r="IP27" s="114">
        <v>1.8069999999999999</v>
      </c>
      <c r="IQ27" s="114">
        <v>5.6669999999999998</v>
      </c>
      <c r="IR27" s="114">
        <v>3.5070000000000001</v>
      </c>
      <c r="IS27" s="114">
        <v>5.1180000000000003</v>
      </c>
      <c r="IT27" s="114">
        <v>3.79</v>
      </c>
      <c r="IU27" s="114">
        <v>7.1</v>
      </c>
      <c r="IV27" s="114">
        <v>5.4480000000000004</v>
      </c>
      <c r="JU27" s="71" t="s">
        <v>252</v>
      </c>
    </row>
    <row r="28" spans="1:281" s="97" customFormat="1" ht="20" customHeight="1" x14ac:dyDescent="0.2">
      <c r="A28" s="95"/>
      <c r="L28" s="98"/>
      <c r="P28" s="99"/>
      <c r="Q28" s="99"/>
      <c r="R28" s="99"/>
      <c r="S28" s="99"/>
      <c r="T28" s="99"/>
      <c r="U28" s="99"/>
      <c r="BB28" s="100"/>
      <c r="BR28" s="96"/>
      <c r="CG28" s="96"/>
      <c r="CH28" s="96"/>
      <c r="CI28" s="96"/>
      <c r="CJ28" s="96"/>
      <c r="CK28" s="96"/>
      <c r="CN28" s="96"/>
      <c r="CO28" s="96"/>
      <c r="CP28" s="96"/>
      <c r="CQ28" s="96"/>
      <c r="CR28" s="96"/>
      <c r="CU28" s="96"/>
      <c r="CV28" s="96"/>
      <c r="CW28" s="96"/>
      <c r="CX28" s="96"/>
      <c r="CY28" s="96"/>
      <c r="CZ28" s="96"/>
      <c r="DA28" s="96"/>
      <c r="DH28" s="96"/>
      <c r="DL28" s="96"/>
      <c r="DO28" s="96"/>
      <c r="DP28" s="96"/>
      <c r="DQ28" s="96"/>
      <c r="DR28" s="96"/>
    </row>
    <row r="29" spans="1:281" s="85" customFormat="1" ht="20" customHeight="1" x14ac:dyDescent="0.2">
      <c r="A29" s="83">
        <v>36</v>
      </c>
      <c r="B29" s="84" t="s">
        <v>684</v>
      </c>
      <c r="C29" s="84" t="s">
        <v>309</v>
      </c>
      <c r="D29" s="84" t="s">
        <v>231</v>
      </c>
      <c r="E29" s="85">
        <v>7</v>
      </c>
      <c r="F29" s="85" t="s">
        <v>239</v>
      </c>
      <c r="G29" s="84" t="s">
        <v>237</v>
      </c>
      <c r="H29" s="84">
        <v>12244090</v>
      </c>
      <c r="I29" s="84"/>
      <c r="J29" s="84" t="s">
        <v>310</v>
      </c>
      <c r="K29" s="85">
        <v>2002</v>
      </c>
      <c r="L29" s="119" t="s">
        <v>311</v>
      </c>
      <c r="N29" s="84" t="s">
        <v>234</v>
      </c>
      <c r="O29" s="84" t="s">
        <v>235</v>
      </c>
      <c r="P29" s="87" t="s">
        <v>235</v>
      </c>
      <c r="Q29" s="87"/>
      <c r="R29" s="87"/>
      <c r="S29" s="87"/>
      <c r="T29" s="87"/>
      <c r="U29" s="87"/>
      <c r="V29" s="84" t="s">
        <v>312</v>
      </c>
      <c r="W29" s="84" t="s">
        <v>237</v>
      </c>
      <c r="X29" s="84" t="s">
        <v>284</v>
      </c>
      <c r="Y29" s="85" t="s">
        <v>828</v>
      </c>
      <c r="Z29" s="84" t="s">
        <v>239</v>
      </c>
      <c r="AA29" s="85">
        <v>2048</v>
      </c>
      <c r="AB29" s="84" t="s">
        <v>237</v>
      </c>
      <c r="AC29" s="84" t="s">
        <v>898</v>
      </c>
      <c r="AD29" s="84" t="s">
        <v>239</v>
      </c>
      <c r="AE29" s="84" t="s">
        <v>313</v>
      </c>
      <c r="AF29" s="84" t="s">
        <v>239</v>
      </c>
      <c r="AG29" s="84" t="s">
        <v>240</v>
      </c>
      <c r="AH29" s="84" t="s">
        <v>239</v>
      </c>
      <c r="AI29" s="85">
        <v>30</v>
      </c>
      <c r="AK29" s="84" t="s">
        <v>239</v>
      </c>
      <c r="AL29" s="85">
        <v>3000</v>
      </c>
      <c r="AM29" s="84" t="s">
        <v>241</v>
      </c>
      <c r="AN29" s="84" t="s">
        <v>314</v>
      </c>
      <c r="AO29" s="84"/>
      <c r="AP29" s="84"/>
      <c r="AQ29" s="84" t="s">
        <v>899</v>
      </c>
      <c r="AS29" s="84"/>
      <c r="AT29" s="84"/>
      <c r="AU29" s="84"/>
      <c r="AV29" s="84"/>
      <c r="AX29" s="84" t="s">
        <v>244</v>
      </c>
      <c r="AY29" s="84" t="s">
        <v>245</v>
      </c>
      <c r="BB29" s="120" t="s">
        <v>379</v>
      </c>
      <c r="BC29" s="91">
        <v>7.5</v>
      </c>
      <c r="BD29" s="121">
        <f>SQRT(((5.07-2*7.73+9.43)^2)/4 + (9.43-5.07)^2/12)</f>
        <v>1.3470461511519689</v>
      </c>
      <c r="BE29" s="121"/>
      <c r="BF29" s="91">
        <v>7.75</v>
      </c>
      <c r="BG29" s="121">
        <f>SQRT(((6.64-2*7.87+8.9)^2)/4 + (8.9-6.64)^2/12)</f>
        <v>0.66002525204217277</v>
      </c>
      <c r="BH29" s="121"/>
      <c r="BI29" s="85" t="s">
        <v>297</v>
      </c>
      <c r="BJ29" s="85">
        <v>2</v>
      </c>
      <c r="BK29" s="84" t="s">
        <v>278</v>
      </c>
      <c r="BP29" s="85" t="s">
        <v>240</v>
      </c>
      <c r="BR29" s="84" t="s">
        <v>262</v>
      </c>
      <c r="BS29" s="84" t="s">
        <v>235</v>
      </c>
      <c r="BT29" s="88">
        <v>20.420000000000002</v>
      </c>
      <c r="BU29" s="88"/>
      <c r="BV29" s="88">
        <v>18.87</v>
      </c>
      <c r="BW29" s="88"/>
      <c r="BX29" s="88">
        <v>77.239999999999995</v>
      </c>
      <c r="BY29" s="88"/>
      <c r="BZ29" s="88">
        <v>79.67</v>
      </c>
      <c r="CA29" s="122"/>
      <c r="CB29" s="88">
        <v>1.63</v>
      </c>
      <c r="CC29" s="88"/>
      <c r="CD29" s="88">
        <v>0.93</v>
      </c>
      <c r="CE29" s="122"/>
      <c r="CG29" s="84" t="s">
        <v>237</v>
      </c>
      <c r="CH29" s="84" t="s">
        <v>240</v>
      </c>
      <c r="CJ29" s="84" t="s">
        <v>239</v>
      </c>
      <c r="CK29" s="84" t="s">
        <v>248</v>
      </c>
      <c r="CL29" s="85">
        <v>25</v>
      </c>
      <c r="CM29" s="85">
        <v>28</v>
      </c>
      <c r="CN29" s="84" t="s">
        <v>249</v>
      </c>
      <c r="CO29" s="84" t="s">
        <v>249</v>
      </c>
      <c r="CP29" s="84" t="s">
        <v>249</v>
      </c>
      <c r="CQ29" s="84" t="s">
        <v>315</v>
      </c>
      <c r="CR29" s="84" t="s">
        <v>316</v>
      </c>
      <c r="CS29" s="85">
        <v>1.7</v>
      </c>
      <c r="CU29" s="103">
        <v>35</v>
      </c>
      <c r="CV29" s="103"/>
      <c r="CW29" s="103">
        <v>36.700000000000003</v>
      </c>
      <c r="CX29" s="103"/>
      <c r="CY29" s="123">
        <f t="shared" si="15"/>
        <v>35.898113207547169</v>
      </c>
      <c r="CZ29" s="93" t="str">
        <f t="shared" ref="CZ29:CZ30" si="23">IF(OR(CY29="",CV29="",CX29=""),"",SQRT(((CL29-1)*(CV29^2) + (CM29-1)*(CX29^2) + CL29*(CU29-CY29)^2 + CM29*(CW29-CY29)^2) / (CL29+CM29-1)))</f>
        <v/>
      </c>
      <c r="DA29" s="105">
        <v>19</v>
      </c>
      <c r="DB29" s="94">
        <f t="shared" si="17"/>
        <v>76</v>
      </c>
      <c r="DC29" s="105">
        <v>15</v>
      </c>
      <c r="DD29" s="94">
        <f t="shared" si="18"/>
        <v>53.571428571428569</v>
      </c>
      <c r="DE29" s="93">
        <f t="shared" ref="DE29:DE30" si="24">IF(AND(DA29&lt;&gt;"",DC29&lt;&gt;""),(DA29+DC29)/(CL29+CM29)*100,
   IF(AND(DB29&lt;&gt;"",DD29&lt;&gt;""),(DB29*CL29 + DD29*CM29)/(CL29+CM29),
   ""))</f>
        <v>64.15094339622641</v>
      </c>
      <c r="DG29" s="90">
        <f t="shared" si="20"/>
        <v>53</v>
      </c>
      <c r="DH29" s="84" t="s">
        <v>239</v>
      </c>
      <c r="DI29" s="85">
        <v>100</v>
      </c>
      <c r="DJ29" s="85">
        <v>0</v>
      </c>
      <c r="DL29" s="89" t="s">
        <v>317</v>
      </c>
      <c r="DO29" s="84" t="s">
        <v>239</v>
      </c>
      <c r="DP29" s="91">
        <v>1</v>
      </c>
      <c r="DQ29" s="91">
        <v>0</v>
      </c>
      <c r="DR29" s="91">
        <v>3</v>
      </c>
      <c r="DS29" s="88">
        <v>1.2</v>
      </c>
      <c r="DT29" s="88">
        <f>SQRT(((DQ29-2*DP29+DR29)^2)/4 + (DR29-DQ29)^2/12)</f>
        <v>1</v>
      </c>
      <c r="HG29" s="88">
        <v>21.7</v>
      </c>
      <c r="HK29" s="88">
        <v>4.55</v>
      </c>
      <c r="HO29" s="85">
        <v>41.48</v>
      </c>
      <c r="HS29" s="88">
        <v>0.03</v>
      </c>
      <c r="JU29" s="84" t="s">
        <v>252</v>
      </c>
    </row>
    <row r="30" spans="1:281" s="64" customFormat="1" ht="20" customHeight="1" x14ac:dyDescent="0.2">
      <c r="A30" s="106">
        <v>36</v>
      </c>
      <c r="B30" s="71" t="s">
        <v>685</v>
      </c>
      <c r="C30" s="71" t="s">
        <v>309</v>
      </c>
      <c r="D30" s="71" t="s">
        <v>231</v>
      </c>
      <c r="E30" s="64">
        <v>7</v>
      </c>
      <c r="F30" s="64" t="s">
        <v>239</v>
      </c>
      <c r="G30" s="71" t="s">
        <v>237</v>
      </c>
      <c r="H30" s="71">
        <v>12244090</v>
      </c>
      <c r="I30" s="71"/>
      <c r="J30" s="71" t="s">
        <v>310</v>
      </c>
      <c r="K30" s="64">
        <v>2002</v>
      </c>
      <c r="L30" s="124" t="s">
        <v>311</v>
      </c>
      <c r="N30" s="71" t="s">
        <v>234</v>
      </c>
      <c r="O30" s="71" t="s">
        <v>318</v>
      </c>
      <c r="P30" s="112" t="s">
        <v>820</v>
      </c>
      <c r="Q30" s="112" t="s">
        <v>1006</v>
      </c>
      <c r="R30" s="112"/>
      <c r="S30" s="112"/>
      <c r="T30" s="112"/>
      <c r="U30" s="112"/>
      <c r="V30" s="71" t="s">
        <v>312</v>
      </c>
      <c r="W30" s="71" t="s">
        <v>237</v>
      </c>
      <c r="X30" s="71" t="s">
        <v>284</v>
      </c>
      <c r="Y30" s="64" t="s">
        <v>828</v>
      </c>
      <c r="Z30" s="71" t="s">
        <v>239</v>
      </c>
      <c r="AA30" s="64">
        <v>2048</v>
      </c>
      <c r="AB30" s="71" t="s">
        <v>237</v>
      </c>
      <c r="AC30" s="71" t="s">
        <v>898</v>
      </c>
      <c r="AD30" s="71" t="s">
        <v>239</v>
      </c>
      <c r="AE30" s="71" t="s">
        <v>313</v>
      </c>
      <c r="AF30" s="71" t="s">
        <v>239</v>
      </c>
      <c r="AG30" s="71" t="s">
        <v>240</v>
      </c>
      <c r="AH30" s="71" t="s">
        <v>239</v>
      </c>
      <c r="AI30" s="64">
        <v>30</v>
      </c>
      <c r="AK30" s="71" t="s">
        <v>239</v>
      </c>
      <c r="AL30" s="64">
        <v>3000</v>
      </c>
      <c r="AM30" s="71" t="s">
        <v>241</v>
      </c>
      <c r="AN30" s="71" t="s">
        <v>314</v>
      </c>
      <c r="AO30" s="71"/>
      <c r="AP30" s="71"/>
      <c r="AQ30" s="71" t="s">
        <v>899</v>
      </c>
      <c r="AS30" s="71"/>
      <c r="AT30" s="71"/>
      <c r="AU30" s="71"/>
      <c r="AV30" s="71"/>
      <c r="AX30" s="71" t="s">
        <v>244</v>
      </c>
      <c r="AY30" s="71" t="s">
        <v>245</v>
      </c>
      <c r="BB30" s="113" t="s">
        <v>379</v>
      </c>
      <c r="BC30" s="109">
        <v>10.61</v>
      </c>
      <c r="BD30" s="125">
        <f>SQRT(((6.88-2*10.81+13.46)^2)/4 + (13.46-6.88)^2/12)</f>
        <v>2.0044034856618405</v>
      </c>
      <c r="BE30" s="125"/>
      <c r="BF30" s="109">
        <v>12.38</v>
      </c>
      <c r="BG30" s="125">
        <f>SQRT(((10.63-2*12.11+15.46)^2)/4 + (15.46-10.63)^2/12)</f>
        <v>1.6787793184334867</v>
      </c>
      <c r="BH30" s="125"/>
      <c r="BI30" s="64">
        <v>3.0000000000000001E-3</v>
      </c>
      <c r="BJ30" s="64">
        <v>2</v>
      </c>
      <c r="BK30" s="71" t="s">
        <v>278</v>
      </c>
      <c r="BP30" s="64" t="s">
        <v>240</v>
      </c>
      <c r="BR30" s="71" t="s">
        <v>262</v>
      </c>
      <c r="BS30" s="71"/>
      <c r="BT30" s="65">
        <v>67.989999999999995</v>
      </c>
      <c r="BU30" s="65"/>
      <c r="BV30" s="65">
        <v>71.41</v>
      </c>
      <c r="BW30" s="65"/>
      <c r="BX30" s="65">
        <v>18.07</v>
      </c>
      <c r="BY30" s="65"/>
      <c r="BZ30" s="65">
        <v>15.71</v>
      </c>
      <c r="CA30" s="126"/>
      <c r="CB30" s="65">
        <v>13.19</v>
      </c>
      <c r="CC30" s="65"/>
      <c r="CD30" s="65">
        <v>12.29</v>
      </c>
      <c r="CE30" s="126"/>
      <c r="CG30" s="71" t="s">
        <v>237</v>
      </c>
      <c r="CH30" s="71" t="s">
        <v>240</v>
      </c>
      <c r="CJ30" s="71" t="s">
        <v>239</v>
      </c>
      <c r="CK30" s="71" t="s">
        <v>248</v>
      </c>
      <c r="CL30" s="64">
        <v>24</v>
      </c>
      <c r="CM30" s="64">
        <v>25</v>
      </c>
      <c r="CN30" s="71" t="s">
        <v>249</v>
      </c>
      <c r="CO30" s="71" t="s">
        <v>249</v>
      </c>
      <c r="CP30" s="71" t="s">
        <v>249</v>
      </c>
      <c r="CQ30" s="71" t="s">
        <v>315</v>
      </c>
      <c r="CR30" s="71" t="s">
        <v>316</v>
      </c>
      <c r="CS30" s="64">
        <v>1.7</v>
      </c>
      <c r="CU30" s="115">
        <v>35.200000000000003</v>
      </c>
      <c r="CV30" s="115"/>
      <c r="CW30" s="115">
        <v>34.9</v>
      </c>
      <c r="CX30" s="115"/>
      <c r="CY30" s="79">
        <f t="shared" si="15"/>
        <v>35.046938775510206</v>
      </c>
      <c r="CZ30" s="80" t="str">
        <f t="shared" si="23"/>
        <v/>
      </c>
      <c r="DA30" s="117">
        <v>19</v>
      </c>
      <c r="DB30" s="81">
        <f t="shared" si="17"/>
        <v>79.166666666666657</v>
      </c>
      <c r="DC30" s="117">
        <v>13</v>
      </c>
      <c r="DD30" s="81">
        <f t="shared" si="18"/>
        <v>52</v>
      </c>
      <c r="DE30" s="80">
        <f t="shared" si="24"/>
        <v>65.306122448979593</v>
      </c>
      <c r="DG30" s="70">
        <f t="shared" si="20"/>
        <v>49</v>
      </c>
      <c r="DH30" s="71" t="s">
        <v>239</v>
      </c>
      <c r="DI30" s="64">
        <v>100</v>
      </c>
      <c r="DJ30" s="64">
        <v>0</v>
      </c>
      <c r="DL30" s="73" t="s">
        <v>317</v>
      </c>
      <c r="DO30" s="71" t="s">
        <v>239</v>
      </c>
      <c r="DP30" s="109">
        <v>1</v>
      </c>
      <c r="DQ30" s="109">
        <v>0</v>
      </c>
      <c r="DR30" s="109">
        <v>3</v>
      </c>
      <c r="DS30" s="65">
        <v>1.2</v>
      </c>
      <c r="DT30" s="65">
        <f>SQRT(((DQ30-2*DP30+DR30)^2)/4 + (DR30-DQ30)^2/12)</f>
        <v>1</v>
      </c>
      <c r="JU30" s="71" t="s">
        <v>252</v>
      </c>
    </row>
    <row r="31" spans="1:281" s="97" customFormat="1" ht="20" customHeight="1" x14ac:dyDescent="0.2">
      <c r="A31" s="95"/>
      <c r="B31" s="96"/>
      <c r="C31" s="96"/>
      <c r="D31" s="96"/>
      <c r="J31" s="96"/>
      <c r="L31" s="127"/>
      <c r="N31" s="96"/>
      <c r="O31" s="96"/>
      <c r="P31" s="111"/>
      <c r="Q31" s="111"/>
      <c r="R31" s="111"/>
      <c r="S31" s="111"/>
      <c r="T31" s="111"/>
      <c r="U31" s="111"/>
      <c r="V31" s="96"/>
      <c r="W31" s="96"/>
      <c r="X31" s="96"/>
      <c r="Y31" s="96"/>
      <c r="Z31" s="96"/>
      <c r="AB31" s="96"/>
      <c r="AC31" s="96"/>
      <c r="AD31" s="96"/>
      <c r="AE31" s="96"/>
      <c r="AF31" s="96"/>
      <c r="AG31" s="96"/>
      <c r="AH31" s="96"/>
      <c r="AK31" s="96"/>
      <c r="AM31" s="96"/>
      <c r="AN31" s="96"/>
      <c r="AO31" s="96"/>
      <c r="AP31" s="96"/>
      <c r="AQ31" s="96"/>
      <c r="AS31" s="96"/>
      <c r="AT31" s="96"/>
      <c r="AU31" s="96"/>
      <c r="AV31" s="96"/>
      <c r="AX31" s="96"/>
      <c r="AY31" s="96"/>
      <c r="BB31" s="100"/>
      <c r="BK31" s="96"/>
      <c r="BR31" s="96"/>
      <c r="BS31" s="96"/>
      <c r="BT31" s="128"/>
      <c r="BU31" s="128"/>
      <c r="BV31" s="128"/>
      <c r="BW31" s="128"/>
      <c r="BX31" s="128"/>
      <c r="BY31" s="128"/>
      <c r="BZ31" s="128"/>
      <c r="CA31" s="128"/>
      <c r="CB31" s="128"/>
      <c r="CC31" s="128"/>
      <c r="CD31" s="128"/>
      <c r="CE31" s="128"/>
      <c r="CG31" s="96"/>
      <c r="CH31" s="96"/>
      <c r="CJ31" s="96"/>
      <c r="CK31" s="96"/>
      <c r="CN31" s="96"/>
      <c r="CO31" s="96"/>
      <c r="CP31" s="96"/>
      <c r="CR31" s="96"/>
      <c r="DH31" s="96"/>
      <c r="DL31" s="96"/>
      <c r="DO31" s="96"/>
      <c r="DP31" s="96"/>
      <c r="DQ31" s="96"/>
      <c r="DR31" s="96"/>
    </row>
    <row r="32" spans="1:281" s="131" customFormat="1" ht="20" customHeight="1" x14ac:dyDescent="0.2">
      <c r="A32" s="129">
        <v>73</v>
      </c>
      <c r="B32" s="130" t="s">
        <v>319</v>
      </c>
      <c r="C32" s="130" t="s">
        <v>320</v>
      </c>
      <c r="D32" s="130" t="s">
        <v>231</v>
      </c>
      <c r="E32" s="131">
        <v>8</v>
      </c>
      <c r="F32" s="131" t="s">
        <v>239</v>
      </c>
      <c r="G32" s="130" t="s">
        <v>237</v>
      </c>
      <c r="H32" s="130">
        <v>8229060</v>
      </c>
      <c r="I32" s="130"/>
      <c r="J32" s="130" t="s">
        <v>321</v>
      </c>
      <c r="K32" s="131">
        <v>1993</v>
      </c>
      <c r="L32" s="132" t="s">
        <v>322</v>
      </c>
      <c r="N32" s="130" t="s">
        <v>234</v>
      </c>
      <c r="O32" s="130" t="s">
        <v>247</v>
      </c>
      <c r="P32" s="133" t="s">
        <v>821</v>
      </c>
      <c r="Q32" s="133"/>
      <c r="R32" s="133"/>
      <c r="S32" s="133"/>
      <c r="T32" s="133"/>
      <c r="U32" s="133"/>
      <c r="V32" s="130" t="s">
        <v>312</v>
      </c>
      <c r="W32" s="130" t="s">
        <v>237</v>
      </c>
      <c r="X32" s="130" t="s">
        <v>323</v>
      </c>
      <c r="Y32" s="130" t="s">
        <v>323</v>
      </c>
      <c r="Z32" s="130" t="s">
        <v>237</v>
      </c>
      <c r="AA32" s="130"/>
      <c r="AB32" s="130" t="s">
        <v>239</v>
      </c>
      <c r="AC32" s="130" t="s">
        <v>917</v>
      </c>
      <c r="AD32" s="130" t="s">
        <v>240</v>
      </c>
      <c r="AF32" s="130" t="s">
        <v>239</v>
      </c>
      <c r="AG32" s="130" t="s">
        <v>240</v>
      </c>
      <c r="AH32" s="130" t="s">
        <v>239</v>
      </c>
      <c r="AI32" s="131">
        <v>20</v>
      </c>
      <c r="AK32" s="130" t="s">
        <v>239</v>
      </c>
      <c r="AL32" s="131">
        <v>1500</v>
      </c>
      <c r="AM32" s="130" t="s">
        <v>259</v>
      </c>
      <c r="AN32" s="130" t="s">
        <v>324</v>
      </c>
      <c r="AO32" s="130"/>
      <c r="AP32" s="130"/>
      <c r="AQ32" s="130"/>
      <c r="AR32" s="131">
        <v>256</v>
      </c>
      <c r="AS32" s="130"/>
      <c r="AT32" s="130"/>
      <c r="AU32" s="130"/>
      <c r="AV32" s="130"/>
      <c r="AX32" s="130" t="s">
        <v>244</v>
      </c>
      <c r="AY32" s="130" t="s">
        <v>245</v>
      </c>
      <c r="BB32" s="130" t="s">
        <v>287</v>
      </c>
      <c r="BC32" s="134">
        <v>17.75</v>
      </c>
      <c r="BD32" s="134">
        <v>8.7899999999999991</v>
      </c>
      <c r="BE32" s="134"/>
      <c r="BF32" s="134">
        <v>22.15</v>
      </c>
      <c r="BG32" s="134">
        <v>3.25</v>
      </c>
      <c r="BH32" s="134"/>
      <c r="BP32" s="131" t="s">
        <v>240</v>
      </c>
      <c r="BR32" s="130" t="s">
        <v>247</v>
      </c>
      <c r="BS32" s="130" t="s">
        <v>254</v>
      </c>
      <c r="CG32" s="130" t="s">
        <v>237</v>
      </c>
      <c r="CH32" s="130" t="s">
        <v>240</v>
      </c>
      <c r="CI32" s="130"/>
      <c r="CJ32" s="130" t="s">
        <v>239</v>
      </c>
      <c r="CK32" s="135" t="s">
        <v>325</v>
      </c>
      <c r="CL32" s="131">
        <v>14</v>
      </c>
      <c r="CM32" s="131">
        <v>12</v>
      </c>
      <c r="CN32" s="130" t="s">
        <v>249</v>
      </c>
      <c r="CO32" s="130" t="s">
        <v>249</v>
      </c>
      <c r="CP32" s="130" t="s">
        <v>249</v>
      </c>
      <c r="CQ32" s="135" t="s">
        <v>326</v>
      </c>
      <c r="CU32" s="131">
        <v>37</v>
      </c>
      <c r="CW32" s="131">
        <v>29</v>
      </c>
      <c r="CY32" s="136">
        <f t="shared" si="15"/>
        <v>33.307692307692307</v>
      </c>
      <c r="CZ32" s="137" t="str">
        <f>IF(OR(CY32="",CV32="",CX32=""),"",SQRT(((CL32-1)*(CV32^2) + (CM32-1)*(CX32^2) + CL32*(CU32-CY32)^2 + CM32*(CW32-CY32)^2) / (CL32+CM32-1)))</f>
        <v/>
      </c>
      <c r="DA32" s="131">
        <v>10</v>
      </c>
      <c r="DB32" s="138">
        <f t="shared" si="17"/>
        <v>71.428571428571431</v>
      </c>
      <c r="DC32" s="139">
        <v>7</v>
      </c>
      <c r="DD32" s="138">
        <f t="shared" si="18"/>
        <v>58.333333333333336</v>
      </c>
      <c r="DE32" s="137">
        <f>IF(AND(DA32&lt;&gt;"",DC32&lt;&gt;""),(DA32+DC32)/(CL32+CM32)*100,
   IF(AND(DB32&lt;&gt;"",DD32&lt;&gt;""),(DB32*CL32 + DD32*CM32)/(CL32+CM32),
   ""))</f>
        <v>65.384615384615387</v>
      </c>
      <c r="DG32" s="140">
        <f t="shared" si="20"/>
        <v>26</v>
      </c>
      <c r="DH32" s="130" t="s">
        <v>240</v>
      </c>
      <c r="DO32" s="130" t="s">
        <v>237</v>
      </c>
      <c r="DP32" s="130"/>
      <c r="DQ32" s="130"/>
      <c r="DR32" s="130"/>
      <c r="JU32" s="130" t="s">
        <v>252</v>
      </c>
    </row>
    <row r="33" spans="1:281" s="97" customFormat="1" ht="20" customHeight="1" x14ac:dyDescent="0.2">
      <c r="A33" s="95"/>
      <c r="B33" s="96"/>
      <c r="C33" s="96"/>
      <c r="D33" s="96"/>
      <c r="J33" s="96"/>
      <c r="L33" s="127"/>
      <c r="N33" s="96"/>
      <c r="O33" s="96"/>
      <c r="P33" s="111"/>
      <c r="Q33" s="111"/>
      <c r="R33" s="111"/>
      <c r="S33" s="111"/>
      <c r="T33" s="111"/>
      <c r="U33" s="111"/>
      <c r="V33" s="96"/>
      <c r="W33" s="96"/>
      <c r="X33" s="96"/>
      <c r="Y33" s="96"/>
      <c r="Z33" s="96"/>
      <c r="AA33" s="96"/>
      <c r="AB33" s="96"/>
      <c r="AC33" s="96"/>
      <c r="AD33" s="96"/>
      <c r="AF33" s="96"/>
      <c r="AG33" s="96"/>
      <c r="AH33" s="96"/>
      <c r="AK33" s="96"/>
      <c r="AM33" s="96"/>
      <c r="AN33" s="96"/>
      <c r="AO33" s="96"/>
      <c r="AP33" s="96"/>
      <c r="AQ33" s="96"/>
      <c r="AS33" s="96"/>
      <c r="AT33" s="96"/>
      <c r="AU33" s="96"/>
      <c r="AV33" s="96"/>
      <c r="AX33" s="96"/>
      <c r="AY33" s="96"/>
      <c r="BB33" s="96"/>
      <c r="BR33" s="96"/>
      <c r="BS33" s="96"/>
      <c r="CG33" s="96"/>
      <c r="CH33" s="96"/>
      <c r="CI33" s="96"/>
      <c r="CJ33" s="96"/>
      <c r="CK33" s="96"/>
      <c r="CN33" s="96"/>
      <c r="CO33" s="96"/>
      <c r="CP33" s="96"/>
      <c r="DH33" s="96"/>
      <c r="DO33" s="96"/>
      <c r="DP33" s="96"/>
      <c r="DQ33" s="96"/>
      <c r="DR33" s="96"/>
    </row>
    <row r="34" spans="1:281" s="131" customFormat="1" ht="20" customHeight="1" x14ac:dyDescent="0.2">
      <c r="A34" s="129">
        <v>68</v>
      </c>
      <c r="B34" s="130" t="s">
        <v>328</v>
      </c>
      <c r="C34" s="130" t="s">
        <v>329</v>
      </c>
      <c r="D34" s="130" t="s">
        <v>231</v>
      </c>
      <c r="E34" s="131">
        <v>11</v>
      </c>
      <c r="F34" s="131" t="s">
        <v>239</v>
      </c>
      <c r="G34" s="130" t="s">
        <v>237</v>
      </c>
      <c r="H34" s="130">
        <v>15128615</v>
      </c>
      <c r="I34" s="130"/>
      <c r="J34" s="130" t="s">
        <v>330</v>
      </c>
      <c r="K34" s="131">
        <v>2004</v>
      </c>
      <c r="L34" s="132" t="s">
        <v>331</v>
      </c>
      <c r="N34" s="130" t="s">
        <v>234</v>
      </c>
      <c r="O34" s="130" t="s">
        <v>332</v>
      </c>
      <c r="P34" s="133" t="s">
        <v>235</v>
      </c>
      <c r="Q34" s="133"/>
      <c r="R34" s="133"/>
      <c r="S34" s="133"/>
      <c r="T34" s="133"/>
      <c r="U34" s="133"/>
      <c r="V34" s="130" t="s">
        <v>312</v>
      </c>
      <c r="W34" s="130" t="s">
        <v>237</v>
      </c>
      <c r="X34" s="130" t="s">
        <v>284</v>
      </c>
      <c r="Y34" s="130" t="s">
        <v>828</v>
      </c>
      <c r="Z34" s="130" t="s">
        <v>240</v>
      </c>
      <c r="AB34" s="130" t="s">
        <v>237</v>
      </c>
      <c r="AC34" s="130" t="s">
        <v>918</v>
      </c>
      <c r="AD34" s="130" t="s">
        <v>239</v>
      </c>
      <c r="AE34" s="130" t="s">
        <v>333</v>
      </c>
      <c r="AF34" s="130" t="s">
        <v>239</v>
      </c>
      <c r="AG34" s="130" t="s">
        <v>240</v>
      </c>
      <c r="AH34" s="130" t="s">
        <v>239</v>
      </c>
      <c r="AI34" s="131">
        <v>30</v>
      </c>
      <c r="AK34" s="130" t="s">
        <v>239</v>
      </c>
      <c r="AL34" s="131">
        <v>3000</v>
      </c>
      <c r="AM34" s="130" t="s">
        <v>259</v>
      </c>
      <c r="AR34" s="131">
        <v>192</v>
      </c>
      <c r="AS34" s="130"/>
      <c r="AT34" s="130"/>
      <c r="AU34" s="130"/>
      <c r="AV34" s="130"/>
      <c r="AX34" s="130" t="s">
        <v>244</v>
      </c>
      <c r="AY34" s="130" t="s">
        <v>245</v>
      </c>
      <c r="BB34" s="130" t="s">
        <v>246</v>
      </c>
      <c r="BC34" s="134">
        <v>7.31</v>
      </c>
      <c r="BD34" s="134">
        <v>1.8</v>
      </c>
      <c r="BE34" s="134"/>
      <c r="BF34" s="134">
        <v>6.76</v>
      </c>
      <c r="BG34" s="134">
        <v>1.2</v>
      </c>
      <c r="BH34" s="134"/>
      <c r="BI34" s="142">
        <v>0.11799999999999999</v>
      </c>
      <c r="BJ34" s="131">
        <v>2</v>
      </c>
      <c r="BK34" s="135" t="str">
        <f t="shared" ref="BK34" si="25">IF(BC34&gt;BF34,"Case_greater_than_control","Control_greater_than_case")</f>
        <v>Case_greater_than_control</v>
      </c>
      <c r="BP34" s="130" t="s">
        <v>237</v>
      </c>
      <c r="BR34" s="130" t="s">
        <v>247</v>
      </c>
      <c r="BS34" s="130" t="s">
        <v>235</v>
      </c>
      <c r="CG34" s="130" t="s">
        <v>237</v>
      </c>
      <c r="CH34" s="130" t="s">
        <v>240</v>
      </c>
      <c r="CJ34" s="130" t="s">
        <v>239</v>
      </c>
      <c r="CK34" s="130" t="s">
        <v>248</v>
      </c>
      <c r="CL34" s="131">
        <v>27</v>
      </c>
      <c r="CM34" s="131">
        <v>44</v>
      </c>
      <c r="CN34" s="130" t="s">
        <v>334</v>
      </c>
      <c r="CO34" s="130" t="s">
        <v>825</v>
      </c>
      <c r="CP34" s="130"/>
      <c r="CQ34" s="130" t="s">
        <v>335</v>
      </c>
      <c r="CU34" s="131">
        <f>SUM((18+(2*32)+50)/4)</f>
        <v>33</v>
      </c>
      <c r="CV34" s="134">
        <f>SQRT(((18-(2*32)+50)^2)/4 + (50-18)^2/12)</f>
        <v>9.4516312525052157</v>
      </c>
      <c r="CW34" s="131">
        <f>SUM((22+(38*2)+62)/4)</f>
        <v>40</v>
      </c>
      <c r="CX34" s="134">
        <f>SQRT(((22-(2*38)+62)^2)/4 + (62-22)^2/12)</f>
        <v>12.220201853215574</v>
      </c>
      <c r="CY34" s="136">
        <f t="shared" si="15"/>
        <v>37.338028169014088</v>
      </c>
      <c r="CZ34" s="137">
        <f>IF(OR(CY34="",CV34="",CX34=""),"",SQRT(((CL34-1)*(CV34^2) + (CM34-1)*(CX34^2) + CL34*(CU34-CY34)^2 + CM34*(CW34-CY34)^2) / (CL34+CM34-1)))</f>
        <v>11.688753644876931</v>
      </c>
      <c r="DB34" s="138" t="str">
        <f t="shared" si="17"/>
        <v/>
      </c>
      <c r="DC34" s="143">
        <v>22</v>
      </c>
      <c r="DD34" s="138">
        <f t="shared" si="18"/>
        <v>50</v>
      </c>
      <c r="DE34" s="137" t="str">
        <f>IF(AND(DA34&lt;&gt;"",DC34&lt;&gt;""),(DA34+DC34)/(CL34+CM34)*100,
   IF(AND(DB34&lt;&gt;"",DD34&lt;&gt;""),(DB34*CL34 + DD34*CM34)/(CL34+CM34),
   ""))</f>
        <v/>
      </c>
      <c r="DG34" s="140">
        <f t="shared" si="20"/>
        <v>71</v>
      </c>
      <c r="DH34" s="130" t="s">
        <v>240</v>
      </c>
      <c r="DO34" s="130" t="s">
        <v>237</v>
      </c>
      <c r="DP34" s="130"/>
      <c r="DQ34" s="130"/>
      <c r="DR34" s="130"/>
      <c r="JU34" s="130" t="s">
        <v>252</v>
      </c>
    </row>
    <row r="35" spans="1:281" s="97" customFormat="1" ht="20" customHeight="1" x14ac:dyDescent="0.2">
      <c r="A35" s="95"/>
      <c r="B35" s="96"/>
      <c r="C35" s="96"/>
      <c r="D35" s="96"/>
      <c r="J35" s="96"/>
      <c r="L35" s="127"/>
      <c r="N35" s="96"/>
      <c r="O35" s="96"/>
      <c r="P35" s="111"/>
      <c r="Q35" s="111"/>
      <c r="R35" s="111"/>
      <c r="S35" s="111"/>
      <c r="T35" s="111"/>
      <c r="U35" s="111"/>
      <c r="V35" s="96"/>
      <c r="W35" s="96"/>
      <c r="X35" s="96"/>
      <c r="Y35" s="96"/>
      <c r="Z35" s="96"/>
      <c r="AB35" s="96"/>
      <c r="AC35" s="96"/>
      <c r="AD35" s="96"/>
      <c r="AE35" s="96"/>
      <c r="AF35" s="96"/>
      <c r="AG35" s="96"/>
      <c r="AH35" s="96"/>
      <c r="AK35" s="96"/>
      <c r="AM35" s="96"/>
      <c r="AS35" s="96"/>
      <c r="AT35" s="96"/>
      <c r="AU35" s="96"/>
      <c r="AV35" s="96"/>
      <c r="AX35" s="96"/>
      <c r="AY35" s="96"/>
      <c r="BB35" s="96"/>
      <c r="BK35" s="96"/>
      <c r="BP35" s="96"/>
      <c r="BR35" s="96"/>
      <c r="BS35" s="96"/>
      <c r="CG35" s="96"/>
      <c r="CH35" s="96"/>
      <c r="CJ35" s="96"/>
      <c r="CK35" s="96"/>
      <c r="CN35" s="96"/>
      <c r="CO35" s="96"/>
      <c r="CP35" s="96"/>
      <c r="CQ35" s="96"/>
      <c r="DH35" s="96"/>
      <c r="DO35" s="96"/>
      <c r="DP35" s="96"/>
      <c r="DQ35" s="96"/>
      <c r="DR35" s="96"/>
    </row>
    <row r="36" spans="1:281" s="131" customFormat="1" ht="20" customHeight="1" x14ac:dyDescent="0.2">
      <c r="A36" s="129">
        <v>17</v>
      </c>
      <c r="B36" s="130" t="s">
        <v>336</v>
      </c>
      <c r="C36" s="130" t="s">
        <v>337</v>
      </c>
      <c r="D36" s="130" t="s">
        <v>231</v>
      </c>
      <c r="E36" s="131">
        <v>12</v>
      </c>
      <c r="F36" s="131" t="s">
        <v>239</v>
      </c>
      <c r="G36" s="130" t="s">
        <v>237</v>
      </c>
      <c r="H36" s="130">
        <v>30069963</v>
      </c>
      <c r="I36" s="130" t="s">
        <v>856</v>
      </c>
      <c r="J36" s="130" t="s">
        <v>338</v>
      </c>
      <c r="K36" s="131">
        <v>2018</v>
      </c>
      <c r="L36" s="132" t="s">
        <v>339</v>
      </c>
      <c r="N36" s="130" t="s">
        <v>295</v>
      </c>
      <c r="O36" s="130" t="s">
        <v>340</v>
      </c>
      <c r="P36" s="144" t="s">
        <v>819</v>
      </c>
      <c r="Q36" s="144"/>
      <c r="R36" s="144"/>
      <c r="S36" s="144"/>
      <c r="T36" s="144"/>
      <c r="U36" s="144" t="s">
        <v>298</v>
      </c>
      <c r="V36" s="130" t="s">
        <v>236</v>
      </c>
      <c r="W36" s="130" t="s">
        <v>237</v>
      </c>
      <c r="X36" s="130" t="s">
        <v>284</v>
      </c>
      <c r="Y36" s="130" t="s">
        <v>828</v>
      </c>
      <c r="Z36" s="130" t="s">
        <v>240</v>
      </c>
      <c r="AB36" s="130" t="s">
        <v>237</v>
      </c>
      <c r="AC36" s="130" t="s">
        <v>919</v>
      </c>
      <c r="AD36" s="130" t="s">
        <v>239</v>
      </c>
      <c r="AE36" s="130" t="s">
        <v>873</v>
      </c>
      <c r="AF36" s="130" t="s">
        <v>239</v>
      </c>
      <c r="AG36" s="130" t="s">
        <v>240</v>
      </c>
      <c r="AH36" s="130" t="s">
        <v>239</v>
      </c>
      <c r="AI36" s="131">
        <v>35</v>
      </c>
      <c r="AK36" s="130" t="s">
        <v>239</v>
      </c>
      <c r="AL36" s="131">
        <v>2000</v>
      </c>
      <c r="AM36" s="130" t="s">
        <v>259</v>
      </c>
      <c r="AN36" s="130" t="s">
        <v>342</v>
      </c>
      <c r="AO36" s="130"/>
      <c r="AP36" s="130"/>
      <c r="AQ36" s="130"/>
      <c r="AR36" s="131">
        <v>32</v>
      </c>
      <c r="AS36" s="145">
        <v>7.62</v>
      </c>
      <c r="AT36" s="145">
        <v>1.1499999999999999</v>
      </c>
      <c r="AU36" s="145">
        <v>7.34</v>
      </c>
      <c r="AV36" s="145">
        <v>1.08</v>
      </c>
      <c r="AW36" s="131">
        <v>20</v>
      </c>
      <c r="AX36" s="130" t="s">
        <v>253</v>
      </c>
      <c r="AY36" s="130" t="s">
        <v>245</v>
      </c>
      <c r="BB36" s="130" t="s">
        <v>246</v>
      </c>
      <c r="BC36" s="134">
        <v>11.02</v>
      </c>
      <c r="BD36" s="134">
        <v>1.52</v>
      </c>
      <c r="BE36" s="134"/>
      <c r="BF36" s="134">
        <v>11.92</v>
      </c>
      <c r="BG36" s="134">
        <v>1.55</v>
      </c>
      <c r="BH36" s="134"/>
      <c r="BI36" s="134">
        <v>0.03</v>
      </c>
      <c r="BJ36" s="131">
        <v>2</v>
      </c>
      <c r="BK36" s="135" t="str">
        <f t="shared" ref="BK36:BK49" si="26">IF(BC36&gt;BF36,"Case_greater_than_control","Control_greater_than_case")</f>
        <v>Control_greater_than_case</v>
      </c>
      <c r="BP36" s="130" t="s">
        <v>240</v>
      </c>
      <c r="BR36" s="130" t="s">
        <v>262</v>
      </c>
      <c r="BT36" s="145">
        <v>54.11</v>
      </c>
      <c r="BU36" s="145">
        <v>3.57</v>
      </c>
      <c r="BV36" s="145">
        <v>53.08</v>
      </c>
      <c r="BW36" s="145">
        <v>3.82</v>
      </c>
      <c r="CG36" s="130" t="s">
        <v>239</v>
      </c>
      <c r="CH36" s="130" t="s">
        <v>237</v>
      </c>
      <c r="CI36" s="130"/>
      <c r="CJ36" s="130" t="s">
        <v>239</v>
      </c>
      <c r="CK36" s="130" t="s">
        <v>248</v>
      </c>
      <c r="CL36" s="131">
        <v>29</v>
      </c>
      <c r="CM36" s="131">
        <v>29</v>
      </c>
      <c r="CN36" s="130" t="s">
        <v>249</v>
      </c>
      <c r="CO36" s="130" t="s">
        <v>249</v>
      </c>
      <c r="CP36" s="130" t="s">
        <v>249</v>
      </c>
      <c r="CQ36" s="130" t="s">
        <v>343</v>
      </c>
      <c r="CR36" s="130" t="s">
        <v>344</v>
      </c>
      <c r="CS36" s="145">
        <v>5.38</v>
      </c>
      <c r="CT36" s="145">
        <v>3.87</v>
      </c>
      <c r="CU36" s="145">
        <v>36.380000000000003</v>
      </c>
      <c r="CV36" s="145">
        <v>9.86</v>
      </c>
      <c r="CW36" s="145">
        <v>37.380000000000003</v>
      </c>
      <c r="CX36" s="145">
        <v>10.46</v>
      </c>
      <c r="CY36" s="146">
        <f t="shared" si="15"/>
        <v>36.880000000000003</v>
      </c>
      <c r="CZ36" s="137">
        <f>IF(OR(CY36="",CV36="",CX36=""),"",SQRT(((CL36-1)*(CV36^2) + (CM36-1)*(CX36^2) + CL36*(CU36-CY36)^2 + CM36*(CW36-CY36)^2) / (CL36+CM36-1)))</f>
        <v>10.087488863882198</v>
      </c>
      <c r="DA36" s="130">
        <v>21</v>
      </c>
      <c r="DB36" s="138">
        <f t="shared" si="17"/>
        <v>72.41379310344827</v>
      </c>
      <c r="DC36" s="143">
        <v>19</v>
      </c>
      <c r="DD36" s="138">
        <f t="shared" si="18"/>
        <v>65.517241379310349</v>
      </c>
      <c r="DE36" s="137">
        <f>IF(AND(DA36&lt;&gt;"",DC36&lt;&gt;""),(DA36+DC36)/(CL36+CM36)*100,
   IF(AND(DB36&lt;&gt;"",DD36&lt;&gt;""),(DB36*CL36 + DD36*CM36)/(CL36+CM36),
   ""))</f>
        <v>68.965517241379317</v>
      </c>
      <c r="DG36" s="140">
        <f t="shared" si="20"/>
        <v>58</v>
      </c>
      <c r="DH36" s="130" t="s">
        <v>240</v>
      </c>
      <c r="DL36" s="130" t="s">
        <v>345</v>
      </c>
      <c r="DO36" s="130" t="s">
        <v>239</v>
      </c>
      <c r="DP36" s="130"/>
      <c r="DQ36" s="130"/>
      <c r="DR36" s="130"/>
      <c r="DS36" s="134">
        <v>2.09</v>
      </c>
      <c r="DT36" s="134">
        <v>1.27</v>
      </c>
      <c r="ES36" s="134">
        <v>27.48</v>
      </c>
      <c r="ET36" s="134">
        <v>5.65</v>
      </c>
      <c r="EU36" s="134">
        <v>23.86</v>
      </c>
      <c r="EV36" s="134">
        <v>7.44</v>
      </c>
      <c r="FM36" s="134"/>
      <c r="FN36" s="134"/>
      <c r="FO36" s="134"/>
      <c r="FP36" s="134"/>
      <c r="FQ36" s="134"/>
      <c r="FR36" s="134"/>
      <c r="FS36" s="134"/>
      <c r="FT36" s="134"/>
      <c r="FU36" s="134">
        <v>66.03</v>
      </c>
      <c r="FV36" s="134">
        <v>21.03</v>
      </c>
      <c r="FW36" s="134">
        <v>74.97</v>
      </c>
      <c r="FX36" s="134">
        <v>21.01</v>
      </c>
      <c r="GK36" s="134">
        <v>61.76</v>
      </c>
      <c r="GL36" s="134">
        <v>10.73</v>
      </c>
      <c r="GM36" s="134">
        <v>48.28</v>
      </c>
      <c r="GN36" s="134">
        <v>11.36</v>
      </c>
      <c r="HA36" s="134">
        <v>55.45</v>
      </c>
      <c r="HB36" s="134">
        <v>14.41</v>
      </c>
      <c r="HC36" s="134">
        <v>45.21</v>
      </c>
      <c r="HD36" s="134">
        <v>12.59</v>
      </c>
      <c r="JU36" s="130" t="s">
        <v>252</v>
      </c>
    </row>
    <row r="37" spans="1:281" s="97" customFormat="1" ht="20" customHeight="1" x14ac:dyDescent="0.2">
      <c r="A37" s="95"/>
      <c r="L37" s="148"/>
      <c r="P37" s="99"/>
      <c r="Q37" s="99"/>
      <c r="R37" s="99"/>
      <c r="S37" s="99"/>
      <c r="T37" s="99"/>
      <c r="U37" s="99"/>
    </row>
    <row r="38" spans="1:281" s="85" customFormat="1" ht="20" customHeight="1" x14ac:dyDescent="0.2">
      <c r="A38" s="83">
        <v>242</v>
      </c>
      <c r="B38" s="84" t="s">
        <v>686</v>
      </c>
      <c r="C38" s="84" t="s">
        <v>346</v>
      </c>
      <c r="D38" s="84" t="s">
        <v>231</v>
      </c>
      <c r="E38" s="85">
        <v>13</v>
      </c>
      <c r="F38" s="85" t="s">
        <v>239</v>
      </c>
      <c r="G38" s="84" t="s">
        <v>237</v>
      </c>
      <c r="H38" s="84">
        <v>37180993</v>
      </c>
      <c r="I38" s="84" t="s">
        <v>857</v>
      </c>
      <c r="J38" s="84" t="s">
        <v>347</v>
      </c>
      <c r="K38" s="85">
        <v>2023</v>
      </c>
      <c r="L38" s="119" t="s">
        <v>348</v>
      </c>
      <c r="N38" s="84" t="s">
        <v>264</v>
      </c>
      <c r="O38" s="84" t="s">
        <v>349</v>
      </c>
      <c r="P38" s="102" t="s">
        <v>819</v>
      </c>
      <c r="Q38" s="102" t="s">
        <v>1008</v>
      </c>
      <c r="R38" s="102"/>
      <c r="S38" s="102"/>
      <c r="T38" s="102"/>
      <c r="U38" s="102" t="s">
        <v>298</v>
      </c>
      <c r="V38" s="84" t="s">
        <v>236</v>
      </c>
      <c r="W38" s="84" t="s">
        <v>237</v>
      </c>
      <c r="X38" s="84" t="s">
        <v>284</v>
      </c>
      <c r="Y38" s="84" t="s">
        <v>828</v>
      </c>
      <c r="Z38" s="84" t="s">
        <v>240</v>
      </c>
      <c r="AB38" s="84" t="s">
        <v>237</v>
      </c>
      <c r="AC38" s="84" t="s">
        <v>920</v>
      </c>
      <c r="AD38" s="84" t="s">
        <v>239</v>
      </c>
      <c r="AE38" s="84" t="s">
        <v>350</v>
      </c>
      <c r="AF38" s="84" t="s">
        <v>239</v>
      </c>
      <c r="AG38" s="84" t="s">
        <v>240</v>
      </c>
      <c r="AH38" s="84" t="s">
        <v>239</v>
      </c>
      <c r="AI38" s="85">
        <v>35</v>
      </c>
      <c r="AK38" s="84" t="s">
        <v>239</v>
      </c>
      <c r="AL38" s="85">
        <v>3000</v>
      </c>
      <c r="AM38" s="84" t="s">
        <v>259</v>
      </c>
      <c r="AN38" s="84" t="s">
        <v>351</v>
      </c>
      <c r="AO38" s="84"/>
      <c r="AP38" s="84"/>
      <c r="AQ38" s="84"/>
      <c r="AR38" s="85">
        <v>64</v>
      </c>
      <c r="AS38" s="84"/>
      <c r="AT38" s="84"/>
      <c r="AU38" s="84"/>
      <c r="AV38" s="84"/>
      <c r="AX38" s="84" t="s">
        <v>253</v>
      </c>
      <c r="AY38" s="84" t="s">
        <v>245</v>
      </c>
      <c r="BB38" s="84" t="s">
        <v>246</v>
      </c>
      <c r="BC38" s="88">
        <v>7.05</v>
      </c>
      <c r="BD38" s="88">
        <v>1.41</v>
      </c>
      <c r="BE38" s="88"/>
      <c r="BF38" s="88">
        <v>6.72</v>
      </c>
      <c r="BG38" s="88">
        <v>1.73</v>
      </c>
      <c r="BH38" s="88"/>
      <c r="BI38" s="84" t="s">
        <v>352</v>
      </c>
      <c r="BJ38" s="85">
        <v>2</v>
      </c>
      <c r="BK38" s="89" t="str">
        <f t="shared" si="26"/>
        <v>Case_greater_than_control</v>
      </c>
      <c r="BP38" s="84" t="s">
        <v>240</v>
      </c>
      <c r="BR38" s="84" t="s">
        <v>262</v>
      </c>
      <c r="CG38" s="84" t="s">
        <v>239</v>
      </c>
      <c r="CH38" s="84" t="s">
        <v>240</v>
      </c>
      <c r="CJ38" s="84" t="s">
        <v>239</v>
      </c>
      <c r="CK38" s="84" t="s">
        <v>248</v>
      </c>
      <c r="CL38" s="85">
        <v>40</v>
      </c>
      <c r="CM38" s="85">
        <v>22</v>
      </c>
      <c r="CN38" s="84" t="s">
        <v>353</v>
      </c>
      <c r="CO38" s="84" t="s">
        <v>249</v>
      </c>
      <c r="CP38" s="84" t="s">
        <v>249</v>
      </c>
      <c r="CQ38" s="84" t="s">
        <v>354</v>
      </c>
      <c r="CR38" s="84" t="s">
        <v>355</v>
      </c>
      <c r="CS38" s="104">
        <v>8.6999999999999993</v>
      </c>
      <c r="CT38" s="104">
        <v>6.2</v>
      </c>
      <c r="CU38" s="104">
        <v>45</v>
      </c>
      <c r="CV38" s="104">
        <v>9.5</v>
      </c>
      <c r="CW38" s="104">
        <v>45.6</v>
      </c>
      <c r="CX38" s="104">
        <v>11</v>
      </c>
      <c r="CY38" s="123">
        <f t="shared" si="15"/>
        <v>45.21290322580645</v>
      </c>
      <c r="CZ38" s="93">
        <f t="shared" ref="CZ38:CZ41" si="27">IF(OR(CY38="",CV38="",CX38=""),"",SQRT(((CL38-1)*(CV38^2) + (CM38-1)*(CX38^2) + CL38*(CU38-CY38)^2 + CM38*(CW38-CY38)^2) / (CL38+CM38-1)))</f>
        <v>9.9719768642253257</v>
      </c>
      <c r="DA38" s="147">
        <v>32</v>
      </c>
      <c r="DB38" s="94">
        <f t="shared" si="17"/>
        <v>80</v>
      </c>
      <c r="DC38" s="105">
        <v>17</v>
      </c>
      <c r="DD38" s="94">
        <f t="shared" si="18"/>
        <v>77.272727272727266</v>
      </c>
      <c r="DE38" s="93">
        <f t="shared" ref="DE38:DE41" si="28">IF(AND(DA38&lt;&gt;"",DC38&lt;&gt;""),(DA38+DC38)/(CL38+CM38)*100,
   IF(AND(DB38&lt;&gt;"",DD38&lt;&gt;""),(DB38*CL38 + DD38*CM38)/(CL38+CM38),
   ""))</f>
        <v>79.032258064516128</v>
      </c>
      <c r="DG38" s="90">
        <f t="shared" si="20"/>
        <v>62</v>
      </c>
      <c r="DH38" s="84" t="s">
        <v>237</v>
      </c>
      <c r="DI38" s="85">
        <v>42.5</v>
      </c>
      <c r="DJ38" s="85">
        <v>57.5</v>
      </c>
      <c r="DK38" s="84" t="s">
        <v>239</v>
      </c>
      <c r="DL38" s="84" t="s">
        <v>356</v>
      </c>
      <c r="DM38" s="84" t="s">
        <v>357</v>
      </c>
      <c r="DN38" s="84" t="s">
        <v>833</v>
      </c>
      <c r="DO38" s="84" t="s">
        <v>239</v>
      </c>
      <c r="DP38" s="103">
        <v>4</v>
      </c>
      <c r="DQ38" s="104">
        <v>3.5</v>
      </c>
      <c r="DR38" s="104">
        <v>5</v>
      </c>
      <c r="DS38" s="103">
        <f>(DQ38 + 2*DP38+DR38)/4</f>
        <v>4.125</v>
      </c>
      <c r="DT38" s="103">
        <f>SQRT(((DQ38-2*DP38+DR38)^2)/4 + (DR38-DQ38)^2/12)</f>
        <v>0.5</v>
      </c>
      <c r="JU38" s="84" t="s">
        <v>252</v>
      </c>
    </row>
    <row r="39" spans="1:281" s="8" customFormat="1" ht="20" customHeight="1" x14ac:dyDescent="0.2">
      <c r="A39" s="35">
        <v>242</v>
      </c>
      <c r="B39" s="7" t="s">
        <v>687</v>
      </c>
      <c r="C39" s="7" t="s">
        <v>346</v>
      </c>
      <c r="D39" s="7" t="s">
        <v>231</v>
      </c>
      <c r="E39" s="8">
        <v>13</v>
      </c>
      <c r="F39" s="8" t="s">
        <v>239</v>
      </c>
      <c r="G39" s="7" t="s">
        <v>237</v>
      </c>
      <c r="H39" s="7">
        <v>37180993</v>
      </c>
      <c r="I39" s="7" t="s">
        <v>858</v>
      </c>
      <c r="J39" s="7" t="s">
        <v>347</v>
      </c>
      <c r="K39" s="8">
        <v>2023</v>
      </c>
      <c r="L39" s="12" t="s">
        <v>348</v>
      </c>
      <c r="N39" s="7" t="s">
        <v>234</v>
      </c>
      <c r="O39" s="7" t="s">
        <v>358</v>
      </c>
      <c r="P39" s="36" t="s">
        <v>822</v>
      </c>
      <c r="Q39" s="36"/>
      <c r="R39" s="36" t="s">
        <v>358</v>
      </c>
      <c r="S39" s="36"/>
      <c r="T39" s="36" t="s">
        <v>358</v>
      </c>
      <c r="U39" s="36"/>
      <c r="V39" s="7" t="s">
        <v>236</v>
      </c>
      <c r="W39" s="7" t="s">
        <v>237</v>
      </c>
      <c r="X39" s="7" t="s">
        <v>284</v>
      </c>
      <c r="Y39" s="7" t="s">
        <v>828</v>
      </c>
      <c r="Z39" s="7" t="s">
        <v>240</v>
      </c>
      <c r="AB39" s="7" t="s">
        <v>237</v>
      </c>
      <c r="AC39" s="7" t="s">
        <v>921</v>
      </c>
      <c r="AD39" s="7" t="s">
        <v>239</v>
      </c>
      <c r="AE39" s="7" t="s">
        <v>350</v>
      </c>
      <c r="AF39" s="7" t="s">
        <v>239</v>
      </c>
      <c r="AG39" s="7" t="s">
        <v>240</v>
      </c>
      <c r="AH39" s="7" t="s">
        <v>239</v>
      </c>
      <c r="AI39" s="8">
        <v>35</v>
      </c>
      <c r="AK39" s="7" t="s">
        <v>239</v>
      </c>
      <c r="AL39" s="8">
        <v>3000</v>
      </c>
      <c r="AM39" s="7" t="s">
        <v>259</v>
      </c>
      <c r="AN39" s="7" t="s">
        <v>359</v>
      </c>
      <c r="AO39" s="7"/>
      <c r="AP39" s="7"/>
      <c r="AQ39" s="7"/>
      <c r="AR39" s="8">
        <v>64</v>
      </c>
      <c r="AS39" s="7"/>
      <c r="AT39" s="7"/>
      <c r="AU39" s="7"/>
      <c r="AV39" s="7"/>
      <c r="AX39" s="7" t="s">
        <v>253</v>
      </c>
      <c r="AY39" s="7" t="s">
        <v>245</v>
      </c>
      <c r="BB39" s="7" t="s">
        <v>246</v>
      </c>
      <c r="BC39" s="11">
        <v>8.42</v>
      </c>
      <c r="BD39" s="11">
        <v>1.86</v>
      </c>
      <c r="BE39" s="11"/>
      <c r="BF39" s="11">
        <v>8.65</v>
      </c>
      <c r="BG39" s="11">
        <v>2.42</v>
      </c>
      <c r="BH39" s="11"/>
      <c r="BI39" s="7" t="s">
        <v>352</v>
      </c>
      <c r="BJ39" s="8">
        <v>2</v>
      </c>
      <c r="BK39" s="5" t="str">
        <f t="shared" si="26"/>
        <v>Control_greater_than_case</v>
      </c>
      <c r="BP39" s="7" t="s">
        <v>240</v>
      </c>
      <c r="BR39" s="7" t="s">
        <v>262</v>
      </c>
      <c r="CG39" s="7" t="s">
        <v>239</v>
      </c>
      <c r="CH39" s="7" t="s">
        <v>240</v>
      </c>
      <c r="CJ39" s="7" t="s">
        <v>239</v>
      </c>
      <c r="CK39" s="7" t="s">
        <v>248</v>
      </c>
      <c r="CL39" s="8">
        <v>40</v>
      </c>
      <c r="CM39" s="8">
        <v>22</v>
      </c>
      <c r="CN39" s="7" t="s">
        <v>353</v>
      </c>
      <c r="CO39" s="7" t="s">
        <v>249</v>
      </c>
      <c r="CP39" s="7" t="s">
        <v>249</v>
      </c>
      <c r="CQ39" s="7" t="s">
        <v>354</v>
      </c>
      <c r="CR39" s="7" t="s">
        <v>355</v>
      </c>
      <c r="CS39" s="42">
        <v>8.6999999999999993</v>
      </c>
      <c r="CT39" s="42">
        <v>6.2</v>
      </c>
      <c r="CU39" s="42">
        <v>45</v>
      </c>
      <c r="CV39" s="42">
        <v>9.5</v>
      </c>
      <c r="CW39" s="42">
        <v>45.6</v>
      </c>
      <c r="CX39" s="42">
        <v>11</v>
      </c>
      <c r="CY39" s="27">
        <f t="shared" si="15"/>
        <v>45.21290322580645</v>
      </c>
      <c r="CZ39" s="28">
        <f t="shared" si="27"/>
        <v>9.9719768642253257</v>
      </c>
      <c r="DA39" s="46">
        <v>32</v>
      </c>
      <c r="DB39" s="29">
        <f t="shared" si="17"/>
        <v>80</v>
      </c>
      <c r="DC39" s="43">
        <v>17</v>
      </c>
      <c r="DD39" s="29">
        <f t="shared" si="18"/>
        <v>77.272727272727266</v>
      </c>
      <c r="DE39" s="28">
        <f t="shared" si="28"/>
        <v>79.032258064516128</v>
      </c>
      <c r="DG39" s="6">
        <f t="shared" si="20"/>
        <v>62</v>
      </c>
      <c r="DH39" s="7" t="s">
        <v>237</v>
      </c>
      <c r="DI39" s="8">
        <v>42.5</v>
      </c>
      <c r="DJ39" s="8">
        <v>57.5</v>
      </c>
      <c r="DK39" s="7" t="s">
        <v>239</v>
      </c>
      <c r="DL39" s="8" t="s">
        <v>356</v>
      </c>
      <c r="DM39" s="7" t="s">
        <v>360</v>
      </c>
      <c r="DN39" s="7" t="s">
        <v>833</v>
      </c>
      <c r="DO39" s="7" t="s">
        <v>239</v>
      </c>
      <c r="DP39" s="41">
        <v>4</v>
      </c>
      <c r="DQ39" s="42">
        <v>3.5</v>
      </c>
      <c r="DR39" s="42">
        <v>5</v>
      </c>
      <c r="DS39" s="41">
        <f t="shared" ref="DS39:DS41" si="29">(DQ39 + 2*DP39+DR39)/4</f>
        <v>4.125</v>
      </c>
      <c r="DT39" s="41">
        <f t="shared" ref="DT39:DT41" si="30">SQRT(((DQ39-2*DP39+DR39)^2)/4 + (DR39-DQ39)^2/12)</f>
        <v>0.5</v>
      </c>
      <c r="JU39" s="7" t="s">
        <v>252</v>
      </c>
    </row>
    <row r="40" spans="1:281" s="8" customFormat="1" ht="20" customHeight="1" x14ac:dyDescent="0.2">
      <c r="A40" s="35">
        <v>242</v>
      </c>
      <c r="B40" s="7" t="s">
        <v>688</v>
      </c>
      <c r="C40" s="7" t="s">
        <v>346</v>
      </c>
      <c r="D40" s="7" t="s">
        <v>231</v>
      </c>
      <c r="E40" s="8">
        <v>13</v>
      </c>
      <c r="F40" s="8" t="s">
        <v>239</v>
      </c>
      <c r="G40" s="7" t="s">
        <v>237</v>
      </c>
      <c r="H40" s="7">
        <v>37180993</v>
      </c>
      <c r="I40" s="7" t="s">
        <v>859</v>
      </c>
      <c r="J40" s="7" t="s">
        <v>347</v>
      </c>
      <c r="K40" s="8">
        <v>2023</v>
      </c>
      <c r="L40" s="12" t="s">
        <v>348</v>
      </c>
      <c r="N40" s="7" t="s">
        <v>264</v>
      </c>
      <c r="O40" s="7" t="s">
        <v>349</v>
      </c>
      <c r="P40" s="37" t="s">
        <v>819</v>
      </c>
      <c r="Q40" s="37" t="s">
        <v>1008</v>
      </c>
      <c r="R40" s="37"/>
      <c r="S40" s="37"/>
      <c r="T40" s="37"/>
      <c r="U40" s="37" t="s">
        <v>298</v>
      </c>
      <c r="V40" s="7" t="s">
        <v>236</v>
      </c>
      <c r="W40" s="7" t="s">
        <v>237</v>
      </c>
      <c r="X40" s="7" t="s">
        <v>284</v>
      </c>
      <c r="Y40" s="7" t="s">
        <v>828</v>
      </c>
      <c r="Z40" s="7" t="s">
        <v>240</v>
      </c>
      <c r="AB40" s="7" t="s">
        <v>237</v>
      </c>
      <c r="AC40" s="7" t="s">
        <v>920</v>
      </c>
      <c r="AD40" s="7" t="s">
        <v>239</v>
      </c>
      <c r="AE40" s="7" t="s">
        <v>350</v>
      </c>
      <c r="AF40" s="7" t="s">
        <v>239</v>
      </c>
      <c r="AG40" s="7" t="s">
        <v>240</v>
      </c>
      <c r="AH40" s="7" t="s">
        <v>239</v>
      </c>
      <c r="AI40" s="8">
        <v>35</v>
      </c>
      <c r="AK40" s="7" t="s">
        <v>239</v>
      </c>
      <c r="AL40" s="8">
        <v>3000</v>
      </c>
      <c r="AM40" s="7" t="s">
        <v>259</v>
      </c>
      <c r="AN40" s="7" t="s">
        <v>351</v>
      </c>
      <c r="AO40" s="7"/>
      <c r="AP40" s="7"/>
      <c r="AQ40" s="7"/>
      <c r="AR40" s="8">
        <v>64</v>
      </c>
      <c r="AS40" s="7"/>
      <c r="AT40" s="7"/>
      <c r="AU40" s="7"/>
      <c r="AV40" s="7"/>
      <c r="AX40" s="7" t="s">
        <v>253</v>
      </c>
      <c r="AY40" s="7" t="s">
        <v>245</v>
      </c>
      <c r="BB40" s="7" t="s">
        <v>246</v>
      </c>
      <c r="BC40" s="11">
        <v>7.14</v>
      </c>
      <c r="BD40" s="11">
        <v>1.72</v>
      </c>
      <c r="BE40" s="11"/>
      <c r="BF40" s="11">
        <v>6.72</v>
      </c>
      <c r="BG40" s="11">
        <v>1.73</v>
      </c>
      <c r="BH40" s="11"/>
      <c r="BI40" s="7" t="s">
        <v>352</v>
      </c>
      <c r="BJ40" s="8">
        <v>2</v>
      </c>
      <c r="BK40" s="5" t="str">
        <f t="shared" si="26"/>
        <v>Case_greater_than_control</v>
      </c>
      <c r="BP40" s="7" t="s">
        <v>240</v>
      </c>
      <c r="BR40" s="7" t="s">
        <v>262</v>
      </c>
      <c r="CG40" s="7" t="s">
        <v>239</v>
      </c>
      <c r="CH40" s="7" t="s">
        <v>240</v>
      </c>
      <c r="CJ40" s="7" t="s">
        <v>239</v>
      </c>
      <c r="CK40" s="7" t="s">
        <v>248</v>
      </c>
      <c r="CL40" s="8">
        <v>20</v>
      </c>
      <c r="CM40" s="8">
        <v>22</v>
      </c>
      <c r="CN40" s="7" t="s">
        <v>361</v>
      </c>
      <c r="CO40" s="7" t="s">
        <v>249</v>
      </c>
      <c r="CP40" s="7" t="s">
        <v>249</v>
      </c>
      <c r="CQ40" s="7" t="s">
        <v>354</v>
      </c>
      <c r="CR40" s="7" t="s">
        <v>355</v>
      </c>
      <c r="CS40" s="42">
        <v>12.1</v>
      </c>
      <c r="CT40" s="42">
        <v>7.8</v>
      </c>
      <c r="CU40" s="42">
        <v>46.6</v>
      </c>
      <c r="CV40" s="42">
        <v>9.8000000000000007</v>
      </c>
      <c r="CW40" s="42">
        <v>45.6</v>
      </c>
      <c r="CX40" s="42">
        <v>11</v>
      </c>
      <c r="CY40" s="27">
        <f t="shared" si="15"/>
        <v>46.076190476190476</v>
      </c>
      <c r="CZ40" s="28">
        <f t="shared" si="27"/>
        <v>10.331382679021955</v>
      </c>
      <c r="DA40" s="46">
        <v>16</v>
      </c>
      <c r="DB40" s="29">
        <f t="shared" si="17"/>
        <v>80</v>
      </c>
      <c r="DC40" s="43">
        <v>17</v>
      </c>
      <c r="DD40" s="29">
        <f t="shared" si="18"/>
        <v>77.272727272727266</v>
      </c>
      <c r="DE40" s="28">
        <f t="shared" si="28"/>
        <v>78.571428571428569</v>
      </c>
      <c r="DG40" s="6">
        <f t="shared" si="20"/>
        <v>42</v>
      </c>
      <c r="DH40" s="7" t="s">
        <v>237</v>
      </c>
      <c r="DI40" s="8">
        <v>35</v>
      </c>
      <c r="DJ40" s="8">
        <v>70</v>
      </c>
      <c r="DK40" s="7" t="s">
        <v>239</v>
      </c>
      <c r="DL40" s="8" t="s">
        <v>356</v>
      </c>
      <c r="DM40" s="7" t="s">
        <v>362</v>
      </c>
      <c r="DN40" s="7" t="s">
        <v>833</v>
      </c>
      <c r="DO40" s="7" t="s">
        <v>239</v>
      </c>
      <c r="DP40" s="11">
        <v>4.25</v>
      </c>
      <c r="DQ40" s="7">
        <v>3.1</v>
      </c>
      <c r="DR40" s="7">
        <v>5.5</v>
      </c>
      <c r="DS40" s="41">
        <f t="shared" si="29"/>
        <v>4.2750000000000004</v>
      </c>
      <c r="DT40" s="41">
        <f t="shared" si="30"/>
        <v>0.69462219947249026</v>
      </c>
      <c r="JU40" s="7" t="s">
        <v>252</v>
      </c>
    </row>
    <row r="41" spans="1:281" s="64" customFormat="1" ht="20" customHeight="1" x14ac:dyDescent="0.2">
      <c r="A41" s="106">
        <v>242</v>
      </c>
      <c r="B41" s="71" t="s">
        <v>689</v>
      </c>
      <c r="C41" s="71" t="s">
        <v>346</v>
      </c>
      <c r="D41" s="71" t="s">
        <v>231</v>
      </c>
      <c r="E41" s="64">
        <v>13</v>
      </c>
      <c r="F41" s="64" t="s">
        <v>239</v>
      </c>
      <c r="G41" s="71" t="s">
        <v>237</v>
      </c>
      <c r="H41" s="71">
        <v>37180993</v>
      </c>
      <c r="I41" s="71" t="s">
        <v>860</v>
      </c>
      <c r="J41" s="71" t="s">
        <v>347</v>
      </c>
      <c r="K41" s="64">
        <v>2023</v>
      </c>
      <c r="L41" s="124" t="s">
        <v>348</v>
      </c>
      <c r="N41" s="71" t="s">
        <v>234</v>
      </c>
      <c r="O41" s="71" t="s">
        <v>358</v>
      </c>
      <c r="P41" s="108" t="s">
        <v>822</v>
      </c>
      <c r="Q41" s="108"/>
      <c r="R41" s="108" t="s">
        <v>358</v>
      </c>
      <c r="S41" s="108"/>
      <c r="T41" s="108" t="s">
        <v>358</v>
      </c>
      <c r="U41" s="108"/>
      <c r="V41" s="71" t="s">
        <v>236</v>
      </c>
      <c r="W41" s="71" t="s">
        <v>237</v>
      </c>
      <c r="X41" s="71" t="s">
        <v>284</v>
      </c>
      <c r="Y41" s="71" t="s">
        <v>828</v>
      </c>
      <c r="Z41" s="71" t="s">
        <v>240</v>
      </c>
      <c r="AB41" s="71" t="s">
        <v>237</v>
      </c>
      <c r="AC41" s="71" t="s">
        <v>921</v>
      </c>
      <c r="AD41" s="71" t="s">
        <v>239</v>
      </c>
      <c r="AE41" s="71" t="s">
        <v>350</v>
      </c>
      <c r="AF41" s="71" t="s">
        <v>239</v>
      </c>
      <c r="AG41" s="71" t="s">
        <v>240</v>
      </c>
      <c r="AH41" s="71" t="s">
        <v>239</v>
      </c>
      <c r="AI41" s="64">
        <v>35</v>
      </c>
      <c r="AK41" s="71" t="s">
        <v>239</v>
      </c>
      <c r="AL41" s="64">
        <v>3000</v>
      </c>
      <c r="AM41" s="71" t="s">
        <v>259</v>
      </c>
      <c r="AN41" s="71" t="s">
        <v>359</v>
      </c>
      <c r="AO41" s="71"/>
      <c r="AP41" s="71"/>
      <c r="AQ41" s="71"/>
      <c r="AR41" s="64">
        <v>64</v>
      </c>
      <c r="AS41" s="71"/>
      <c r="AT41" s="71"/>
      <c r="AU41" s="71"/>
      <c r="AV41" s="71"/>
      <c r="AX41" s="71" t="s">
        <v>253</v>
      </c>
      <c r="AY41" s="71" t="s">
        <v>245</v>
      </c>
      <c r="BB41" s="71" t="s">
        <v>246</v>
      </c>
      <c r="BC41" s="65">
        <v>7.55</v>
      </c>
      <c r="BD41" s="65">
        <v>2.13</v>
      </c>
      <c r="BE41" s="65"/>
      <c r="BF41" s="65">
        <v>8.65</v>
      </c>
      <c r="BG41" s="65">
        <v>2.42</v>
      </c>
      <c r="BH41" s="65"/>
      <c r="BI41" s="71" t="s">
        <v>352</v>
      </c>
      <c r="BJ41" s="64">
        <v>2</v>
      </c>
      <c r="BK41" s="73" t="str">
        <f t="shared" si="26"/>
        <v>Control_greater_than_case</v>
      </c>
      <c r="BP41" s="71" t="s">
        <v>240</v>
      </c>
      <c r="BR41" s="71" t="s">
        <v>262</v>
      </c>
      <c r="CG41" s="71" t="s">
        <v>239</v>
      </c>
      <c r="CH41" s="71" t="s">
        <v>240</v>
      </c>
      <c r="CJ41" s="71" t="s">
        <v>239</v>
      </c>
      <c r="CK41" s="71" t="s">
        <v>248</v>
      </c>
      <c r="CL41" s="64">
        <v>20</v>
      </c>
      <c r="CM41" s="64">
        <v>22</v>
      </c>
      <c r="CN41" s="71" t="s">
        <v>361</v>
      </c>
      <c r="CO41" s="71" t="s">
        <v>249</v>
      </c>
      <c r="CP41" s="71" t="s">
        <v>249</v>
      </c>
      <c r="CQ41" s="71" t="s">
        <v>354</v>
      </c>
      <c r="CR41" s="71" t="s">
        <v>355</v>
      </c>
      <c r="CS41" s="116">
        <v>12.1</v>
      </c>
      <c r="CT41" s="116">
        <v>7.8</v>
      </c>
      <c r="CU41" s="116">
        <v>46.6</v>
      </c>
      <c r="CV41" s="116">
        <v>9.8000000000000007</v>
      </c>
      <c r="CW41" s="116">
        <v>45.6</v>
      </c>
      <c r="CX41" s="116">
        <v>11</v>
      </c>
      <c r="CY41" s="79">
        <f t="shared" si="15"/>
        <v>46.076190476190476</v>
      </c>
      <c r="CZ41" s="80">
        <f t="shared" si="27"/>
        <v>10.331382679021955</v>
      </c>
      <c r="DA41" s="149">
        <v>16</v>
      </c>
      <c r="DB41" s="81">
        <f t="shared" si="17"/>
        <v>80</v>
      </c>
      <c r="DC41" s="117">
        <v>17</v>
      </c>
      <c r="DD41" s="81">
        <f t="shared" si="18"/>
        <v>77.272727272727266</v>
      </c>
      <c r="DE41" s="80">
        <f t="shared" si="28"/>
        <v>78.571428571428569</v>
      </c>
      <c r="DG41" s="70">
        <f t="shared" si="20"/>
        <v>42</v>
      </c>
      <c r="DH41" s="71" t="s">
        <v>237</v>
      </c>
      <c r="DI41" s="64">
        <v>35</v>
      </c>
      <c r="DJ41" s="64">
        <f>15+55</f>
        <v>70</v>
      </c>
      <c r="DK41" s="71" t="s">
        <v>239</v>
      </c>
      <c r="DL41" s="64" t="s">
        <v>356</v>
      </c>
      <c r="DM41" s="71" t="s">
        <v>362</v>
      </c>
      <c r="DN41" s="71" t="s">
        <v>833</v>
      </c>
      <c r="DO41" s="71" t="s">
        <v>239</v>
      </c>
      <c r="DP41" s="65">
        <v>4.25</v>
      </c>
      <c r="DQ41" s="71">
        <v>3.1</v>
      </c>
      <c r="DR41" s="71">
        <v>5.5</v>
      </c>
      <c r="DS41" s="115">
        <f t="shared" si="29"/>
        <v>4.2750000000000004</v>
      </c>
      <c r="DT41" s="115">
        <f t="shared" si="30"/>
        <v>0.69462219947249026</v>
      </c>
      <c r="JU41" s="71" t="s">
        <v>252</v>
      </c>
    </row>
    <row r="42" spans="1:281" s="97" customFormat="1" ht="20" customHeight="1" x14ac:dyDescent="0.2">
      <c r="A42" s="95"/>
      <c r="L42" s="148"/>
      <c r="P42" s="99"/>
      <c r="Q42" s="99"/>
      <c r="R42" s="99"/>
      <c r="S42" s="99"/>
      <c r="T42" s="99"/>
      <c r="U42" s="99"/>
    </row>
    <row r="43" spans="1:281" s="85" customFormat="1" ht="21" customHeight="1" x14ac:dyDescent="0.2">
      <c r="A43" s="83">
        <v>237</v>
      </c>
      <c r="B43" s="84" t="s">
        <v>690</v>
      </c>
      <c r="C43" s="84" t="s">
        <v>363</v>
      </c>
      <c r="D43" s="84" t="s">
        <v>231</v>
      </c>
      <c r="E43" s="85">
        <v>14</v>
      </c>
      <c r="F43" s="85" t="s">
        <v>239</v>
      </c>
      <c r="G43" s="84" t="s">
        <v>237</v>
      </c>
      <c r="H43" s="84">
        <v>33665745</v>
      </c>
      <c r="I43" s="84"/>
      <c r="J43" s="84" t="s">
        <v>364</v>
      </c>
      <c r="K43" s="85">
        <v>2021</v>
      </c>
      <c r="L43" s="119" t="s">
        <v>365</v>
      </c>
      <c r="N43" s="84" t="s">
        <v>234</v>
      </c>
      <c r="O43" s="84" t="s">
        <v>366</v>
      </c>
      <c r="P43" s="87" t="s">
        <v>254</v>
      </c>
      <c r="Q43" s="87"/>
      <c r="R43" s="87"/>
      <c r="S43" s="87"/>
      <c r="T43" s="87"/>
      <c r="U43" s="87"/>
      <c r="V43" s="84" t="s">
        <v>367</v>
      </c>
      <c r="W43" s="84" t="s">
        <v>237</v>
      </c>
      <c r="X43" s="84" t="s">
        <v>869</v>
      </c>
      <c r="Y43" s="84" t="s">
        <v>830</v>
      </c>
      <c r="Z43" s="84" t="s">
        <v>240</v>
      </c>
      <c r="AB43" s="84" t="s">
        <v>237</v>
      </c>
      <c r="AC43" s="84" t="s">
        <v>900</v>
      </c>
      <c r="AD43" s="84" t="s">
        <v>240</v>
      </c>
      <c r="AF43" s="84" t="s">
        <v>239</v>
      </c>
      <c r="AG43" s="84" t="s">
        <v>240</v>
      </c>
      <c r="AH43" s="84" t="s">
        <v>239</v>
      </c>
      <c r="AI43" s="85">
        <v>1.3</v>
      </c>
      <c r="AJ43" s="84"/>
      <c r="AK43" s="84" t="s">
        <v>239</v>
      </c>
      <c r="AL43" s="85">
        <v>200</v>
      </c>
      <c r="AM43" s="84" t="s">
        <v>368</v>
      </c>
      <c r="AN43" s="84" t="s">
        <v>369</v>
      </c>
      <c r="AO43" s="84"/>
      <c r="AP43" s="84"/>
      <c r="AQ43" s="84"/>
      <c r="AS43" s="84"/>
      <c r="AT43" s="84"/>
      <c r="AU43" s="84"/>
      <c r="AV43" s="84"/>
      <c r="AX43" s="84" t="s">
        <v>244</v>
      </c>
      <c r="AY43" s="84" t="s">
        <v>277</v>
      </c>
      <c r="AZ43" s="84" t="s">
        <v>370</v>
      </c>
      <c r="BB43" s="84" t="s">
        <v>246</v>
      </c>
      <c r="BC43" s="88">
        <v>0.51</v>
      </c>
      <c r="BD43" s="88">
        <v>0.1</v>
      </c>
      <c r="BE43" s="88"/>
      <c r="BF43" s="88">
        <v>0.46</v>
      </c>
      <c r="BG43" s="88">
        <v>0.09</v>
      </c>
      <c r="BH43" s="88"/>
      <c r="BI43" s="84" t="s">
        <v>297</v>
      </c>
      <c r="BJ43" s="85">
        <v>2</v>
      </c>
      <c r="BK43" s="89" t="str">
        <f t="shared" si="26"/>
        <v>Case_greater_than_control</v>
      </c>
      <c r="BP43" s="84" t="s">
        <v>240</v>
      </c>
      <c r="BR43" s="84" t="s">
        <v>247</v>
      </c>
      <c r="BS43" s="84" t="s">
        <v>254</v>
      </c>
      <c r="CG43" s="84" t="s">
        <v>237</v>
      </c>
      <c r="CH43" s="84" t="s">
        <v>240</v>
      </c>
      <c r="CJ43" s="84" t="s">
        <v>239</v>
      </c>
      <c r="CK43" s="84" t="s">
        <v>248</v>
      </c>
      <c r="CL43" s="85">
        <v>8</v>
      </c>
      <c r="CM43" s="85">
        <v>8</v>
      </c>
      <c r="CN43" s="84" t="s">
        <v>334</v>
      </c>
      <c r="CO43" s="84" t="s">
        <v>249</v>
      </c>
      <c r="CP43" s="84" t="s">
        <v>249</v>
      </c>
      <c r="CQ43" s="84" t="s">
        <v>371</v>
      </c>
      <c r="CY43" s="92" t="str">
        <f t="shared" si="15"/>
        <v/>
      </c>
      <c r="CZ43" s="93" t="str">
        <f t="shared" ref="CZ43:CZ46" si="31">IF(OR(CY43="",CV43="",CX43=""),"",SQRT(((CL43-1)*(CV43^2) + (CM43-1)*(CX43^2) + CL43*(CU43-CY43)^2 + CM43*(CW43-CY43)^2) / (CL43+CM43-1)))</f>
        <v/>
      </c>
      <c r="DB43" s="94" t="str">
        <f t="shared" si="17"/>
        <v/>
      </c>
      <c r="DD43" s="94" t="str">
        <f t="shared" si="18"/>
        <v/>
      </c>
      <c r="DE43" s="93" t="str">
        <f t="shared" ref="DE43:DE46" si="32">IF(AND(DA43&lt;&gt;"",DC43&lt;&gt;""),(DA43+DC43)/(CL43+CM43)*100,
   IF(AND(DB43&lt;&gt;"",DD43&lt;&gt;""),(DB43*CL43 + DD43*CM43)/(CL43+CM43),
   ""))</f>
        <v/>
      </c>
      <c r="DG43" s="90">
        <f t="shared" si="20"/>
        <v>16</v>
      </c>
      <c r="DH43" s="84" t="s">
        <v>239</v>
      </c>
      <c r="DO43" s="84"/>
      <c r="DP43" s="84"/>
      <c r="DQ43" s="84"/>
      <c r="DR43" s="84"/>
      <c r="JU43" s="84" t="s">
        <v>252</v>
      </c>
    </row>
    <row r="44" spans="1:281" s="8" customFormat="1" ht="20" customHeight="1" x14ac:dyDescent="0.2">
      <c r="A44" s="35">
        <v>237</v>
      </c>
      <c r="B44" s="7" t="s">
        <v>691</v>
      </c>
      <c r="C44" s="7" t="s">
        <v>363</v>
      </c>
      <c r="D44" s="7" t="s">
        <v>231</v>
      </c>
      <c r="E44" s="8">
        <v>14</v>
      </c>
      <c r="F44" s="8" t="s">
        <v>239</v>
      </c>
      <c r="G44" s="7" t="s">
        <v>237</v>
      </c>
      <c r="H44" s="7">
        <v>33665745</v>
      </c>
      <c r="I44" s="7"/>
      <c r="J44" s="7" t="s">
        <v>364</v>
      </c>
      <c r="K44" s="8">
        <v>2021</v>
      </c>
      <c r="L44" s="12" t="s">
        <v>365</v>
      </c>
      <c r="N44" s="7" t="s">
        <v>234</v>
      </c>
      <c r="O44" s="7" t="s">
        <v>372</v>
      </c>
      <c r="P44" s="36" t="s">
        <v>235</v>
      </c>
      <c r="Q44" s="36"/>
      <c r="R44" s="36"/>
      <c r="S44" s="36"/>
      <c r="T44" s="36"/>
      <c r="U44" s="36"/>
      <c r="V44" s="7" t="s">
        <v>367</v>
      </c>
      <c r="W44" s="7" t="s">
        <v>237</v>
      </c>
      <c r="X44" s="7" t="s">
        <v>869</v>
      </c>
      <c r="Y44" s="7" t="s">
        <v>830</v>
      </c>
      <c r="Z44" s="7" t="s">
        <v>240</v>
      </c>
      <c r="AB44" s="7" t="s">
        <v>237</v>
      </c>
      <c r="AC44" s="7" t="s">
        <v>900</v>
      </c>
      <c r="AD44" s="7" t="s">
        <v>240</v>
      </c>
      <c r="AF44" s="7" t="s">
        <v>239</v>
      </c>
      <c r="AG44" s="7" t="s">
        <v>240</v>
      </c>
      <c r="AH44" s="7" t="s">
        <v>239</v>
      </c>
      <c r="AI44" s="8">
        <v>1.3</v>
      </c>
      <c r="AJ44" s="7"/>
      <c r="AK44" s="7" t="s">
        <v>239</v>
      </c>
      <c r="AL44" s="8">
        <v>200</v>
      </c>
      <c r="AM44" s="7" t="s">
        <v>368</v>
      </c>
      <c r="AN44" s="7" t="s">
        <v>369</v>
      </c>
      <c r="AO44" s="7"/>
      <c r="AP44" s="7"/>
      <c r="AQ44" s="7"/>
      <c r="AS44" s="7"/>
      <c r="AT44" s="7"/>
      <c r="AU44" s="7"/>
      <c r="AV44" s="7"/>
      <c r="AX44" s="7" t="s">
        <v>244</v>
      </c>
      <c r="AY44" s="7" t="s">
        <v>277</v>
      </c>
      <c r="AZ44" s="7" t="s">
        <v>370</v>
      </c>
      <c r="BB44" s="7" t="s">
        <v>246</v>
      </c>
      <c r="BC44" s="11">
        <v>0.48</v>
      </c>
      <c r="BD44" s="11">
        <v>7.0000000000000007E-2</v>
      </c>
      <c r="BE44" s="11"/>
      <c r="BF44" s="11">
        <v>0.46</v>
      </c>
      <c r="BG44" s="11">
        <v>0.09</v>
      </c>
      <c r="BH44" s="11"/>
      <c r="BI44" s="7" t="s">
        <v>297</v>
      </c>
      <c r="BJ44" s="8">
        <v>2</v>
      </c>
      <c r="BK44" s="5" t="str">
        <f t="shared" si="26"/>
        <v>Case_greater_than_control</v>
      </c>
      <c r="BP44" s="7" t="s">
        <v>240</v>
      </c>
      <c r="BR44" s="7" t="s">
        <v>247</v>
      </c>
      <c r="BS44" s="5" t="s">
        <v>235</v>
      </c>
      <c r="CG44" s="7" t="s">
        <v>237</v>
      </c>
      <c r="CH44" s="7" t="s">
        <v>240</v>
      </c>
      <c r="CJ44" s="7" t="s">
        <v>239</v>
      </c>
      <c r="CK44" s="7" t="s">
        <v>248</v>
      </c>
      <c r="CL44" s="8">
        <v>8</v>
      </c>
      <c r="CM44" s="8">
        <v>8</v>
      </c>
      <c r="CN44" s="7" t="s">
        <v>334</v>
      </c>
      <c r="CO44" s="7" t="s">
        <v>249</v>
      </c>
      <c r="CP44" s="7" t="s">
        <v>249</v>
      </c>
      <c r="CQ44" s="7" t="s">
        <v>371</v>
      </c>
      <c r="CY44" s="39" t="str">
        <f t="shared" si="15"/>
        <v/>
      </c>
      <c r="CZ44" s="28" t="str">
        <f t="shared" si="31"/>
        <v/>
      </c>
      <c r="DB44" s="29" t="str">
        <f t="shared" si="17"/>
        <v/>
      </c>
      <c r="DD44" s="29" t="str">
        <f t="shared" si="18"/>
        <v/>
      </c>
      <c r="DE44" s="28" t="str">
        <f t="shared" si="32"/>
        <v/>
      </c>
      <c r="DG44" s="6">
        <f t="shared" si="20"/>
        <v>16</v>
      </c>
      <c r="DH44" s="7" t="s">
        <v>239</v>
      </c>
      <c r="JU44" s="7" t="s">
        <v>252</v>
      </c>
    </row>
    <row r="45" spans="1:281" s="8" customFormat="1" ht="20" customHeight="1" x14ac:dyDescent="0.2">
      <c r="A45" s="35">
        <v>237</v>
      </c>
      <c r="B45" s="7" t="s">
        <v>692</v>
      </c>
      <c r="C45" s="7" t="s">
        <v>363</v>
      </c>
      <c r="D45" s="7" t="s">
        <v>231</v>
      </c>
      <c r="E45" s="8">
        <v>14</v>
      </c>
      <c r="F45" s="8" t="s">
        <v>237</v>
      </c>
      <c r="G45" s="7" t="s">
        <v>237</v>
      </c>
      <c r="H45" s="7">
        <v>33665745</v>
      </c>
      <c r="I45" s="7"/>
      <c r="J45" s="7" t="s">
        <v>364</v>
      </c>
      <c r="K45" s="8">
        <v>2021</v>
      </c>
      <c r="L45" s="12" t="s">
        <v>365</v>
      </c>
      <c r="N45" s="7" t="s">
        <v>234</v>
      </c>
      <c r="O45" s="7" t="s">
        <v>366</v>
      </c>
      <c r="P45" s="36" t="s">
        <v>254</v>
      </c>
      <c r="Q45" s="36"/>
      <c r="R45" s="36"/>
      <c r="S45" s="36"/>
      <c r="T45" s="36"/>
      <c r="U45" s="36"/>
      <c r="V45" s="7" t="s">
        <v>367</v>
      </c>
      <c r="W45" s="7" t="s">
        <v>237</v>
      </c>
      <c r="X45" s="7" t="s">
        <v>869</v>
      </c>
      <c r="Y45" s="7" t="s">
        <v>830</v>
      </c>
      <c r="Z45" s="7" t="s">
        <v>240</v>
      </c>
      <c r="AB45" s="7" t="s">
        <v>237</v>
      </c>
      <c r="AC45" s="7" t="s">
        <v>900</v>
      </c>
      <c r="AD45" s="7" t="s">
        <v>240</v>
      </c>
      <c r="AF45" s="7" t="s">
        <v>239</v>
      </c>
      <c r="AG45" s="7" t="s">
        <v>240</v>
      </c>
      <c r="AH45" s="7" t="s">
        <v>239</v>
      </c>
      <c r="AI45" s="8">
        <v>1.3</v>
      </c>
      <c r="AJ45" s="7"/>
      <c r="AK45" s="7" t="s">
        <v>239</v>
      </c>
      <c r="AL45" s="8">
        <v>200</v>
      </c>
      <c r="AM45" s="7" t="s">
        <v>368</v>
      </c>
      <c r="AN45" s="7" t="s">
        <v>369</v>
      </c>
      <c r="AO45" s="7"/>
      <c r="AP45" s="7"/>
      <c r="AQ45" s="7"/>
      <c r="AS45" s="7"/>
      <c r="AT45" s="7"/>
      <c r="AU45" s="7"/>
      <c r="AV45" s="7"/>
      <c r="AX45" s="7" t="s">
        <v>244</v>
      </c>
      <c r="AY45" s="7" t="s">
        <v>277</v>
      </c>
      <c r="AZ45" s="7" t="s">
        <v>373</v>
      </c>
      <c r="BB45" s="7" t="s">
        <v>246</v>
      </c>
      <c r="BC45" s="11">
        <v>0.61</v>
      </c>
      <c r="BD45" s="11">
        <v>0.16</v>
      </c>
      <c r="BE45" s="11"/>
      <c r="BF45" s="11">
        <v>0.31</v>
      </c>
      <c r="BG45" s="11">
        <v>0.06</v>
      </c>
      <c r="BH45" s="11"/>
      <c r="BI45" s="7" t="s">
        <v>297</v>
      </c>
      <c r="BJ45" s="8">
        <v>2</v>
      </c>
      <c r="BK45" s="5" t="str">
        <f t="shared" si="26"/>
        <v>Case_greater_than_control</v>
      </c>
      <c r="BP45" s="7" t="s">
        <v>240</v>
      </c>
      <c r="BR45" s="7" t="s">
        <v>247</v>
      </c>
      <c r="BS45" s="7" t="s">
        <v>254</v>
      </c>
      <c r="CG45" s="7" t="s">
        <v>237</v>
      </c>
      <c r="CH45" s="7" t="s">
        <v>240</v>
      </c>
      <c r="CJ45" s="7" t="s">
        <v>239</v>
      </c>
      <c r="CK45" s="7" t="s">
        <v>248</v>
      </c>
      <c r="CL45" s="8">
        <v>8</v>
      </c>
      <c r="CM45" s="8">
        <v>8</v>
      </c>
      <c r="CN45" s="7" t="s">
        <v>334</v>
      </c>
      <c r="CO45" s="7" t="s">
        <v>249</v>
      </c>
      <c r="CP45" s="7" t="s">
        <v>249</v>
      </c>
      <c r="CQ45" s="7" t="s">
        <v>371</v>
      </c>
      <c r="CY45" s="39" t="str">
        <f t="shared" si="15"/>
        <v/>
      </c>
      <c r="CZ45" s="28" t="str">
        <f t="shared" si="31"/>
        <v/>
      </c>
      <c r="DB45" s="29" t="str">
        <f t="shared" si="17"/>
        <v/>
      </c>
      <c r="DD45" s="29" t="str">
        <f t="shared" si="18"/>
        <v/>
      </c>
      <c r="DE45" s="28" t="str">
        <f t="shared" si="32"/>
        <v/>
      </c>
      <c r="DG45" s="6">
        <f t="shared" si="20"/>
        <v>16</v>
      </c>
      <c r="DH45" s="7" t="s">
        <v>239</v>
      </c>
      <c r="JU45" s="7" t="s">
        <v>252</v>
      </c>
    </row>
    <row r="46" spans="1:281" s="64" customFormat="1" ht="20" customHeight="1" x14ac:dyDescent="0.2">
      <c r="A46" s="106">
        <v>237</v>
      </c>
      <c r="B46" s="71" t="s">
        <v>693</v>
      </c>
      <c r="C46" s="71" t="s">
        <v>363</v>
      </c>
      <c r="D46" s="71" t="s">
        <v>231</v>
      </c>
      <c r="E46" s="64">
        <v>14</v>
      </c>
      <c r="F46" s="64" t="s">
        <v>237</v>
      </c>
      <c r="G46" s="71" t="s">
        <v>237</v>
      </c>
      <c r="H46" s="71">
        <v>33665745</v>
      </c>
      <c r="I46" s="71"/>
      <c r="J46" s="71" t="s">
        <v>364</v>
      </c>
      <c r="K46" s="64">
        <v>2021</v>
      </c>
      <c r="L46" s="124" t="s">
        <v>365</v>
      </c>
      <c r="N46" s="71" t="s">
        <v>234</v>
      </c>
      <c r="O46" s="71" t="s">
        <v>372</v>
      </c>
      <c r="P46" s="108" t="s">
        <v>235</v>
      </c>
      <c r="Q46" s="108"/>
      <c r="R46" s="108"/>
      <c r="S46" s="108"/>
      <c r="T46" s="108"/>
      <c r="U46" s="108"/>
      <c r="V46" s="71" t="s">
        <v>367</v>
      </c>
      <c r="W46" s="71" t="s">
        <v>237</v>
      </c>
      <c r="X46" s="71" t="s">
        <v>869</v>
      </c>
      <c r="Y46" s="71" t="s">
        <v>830</v>
      </c>
      <c r="Z46" s="71" t="s">
        <v>240</v>
      </c>
      <c r="AB46" s="71" t="s">
        <v>237</v>
      </c>
      <c r="AC46" s="71" t="s">
        <v>900</v>
      </c>
      <c r="AD46" s="71" t="s">
        <v>240</v>
      </c>
      <c r="AF46" s="71" t="s">
        <v>239</v>
      </c>
      <c r="AG46" s="71" t="s">
        <v>240</v>
      </c>
      <c r="AH46" s="71" t="s">
        <v>239</v>
      </c>
      <c r="AI46" s="64">
        <v>1.3</v>
      </c>
      <c r="AJ46" s="71"/>
      <c r="AK46" s="71" t="s">
        <v>239</v>
      </c>
      <c r="AL46" s="64">
        <v>200</v>
      </c>
      <c r="AM46" s="71" t="s">
        <v>368</v>
      </c>
      <c r="AN46" s="71" t="s">
        <v>369</v>
      </c>
      <c r="AO46" s="71"/>
      <c r="AP46" s="71"/>
      <c r="AQ46" s="71"/>
      <c r="AS46" s="71"/>
      <c r="AT46" s="71"/>
      <c r="AU46" s="71"/>
      <c r="AV46" s="71"/>
      <c r="AX46" s="71" t="s">
        <v>244</v>
      </c>
      <c r="AY46" s="71" t="s">
        <v>277</v>
      </c>
      <c r="AZ46" s="71" t="s">
        <v>373</v>
      </c>
      <c r="BB46" s="71" t="s">
        <v>246</v>
      </c>
      <c r="BC46" s="65">
        <v>0.41</v>
      </c>
      <c r="BD46" s="65">
        <v>0.06</v>
      </c>
      <c r="BE46" s="65"/>
      <c r="BF46" s="65">
        <v>0.31</v>
      </c>
      <c r="BG46" s="65">
        <v>0.06</v>
      </c>
      <c r="BH46" s="65"/>
      <c r="BI46" s="71" t="s">
        <v>297</v>
      </c>
      <c r="BJ46" s="64">
        <v>2</v>
      </c>
      <c r="BK46" s="73" t="str">
        <f t="shared" si="26"/>
        <v>Case_greater_than_control</v>
      </c>
      <c r="BP46" s="71" t="s">
        <v>240</v>
      </c>
      <c r="BR46" s="71" t="s">
        <v>247</v>
      </c>
      <c r="BS46" s="73" t="s">
        <v>235</v>
      </c>
      <c r="CG46" s="71" t="s">
        <v>237</v>
      </c>
      <c r="CH46" s="71" t="s">
        <v>240</v>
      </c>
      <c r="CJ46" s="71" t="s">
        <v>239</v>
      </c>
      <c r="CK46" s="71" t="s">
        <v>248</v>
      </c>
      <c r="CL46" s="64">
        <v>8</v>
      </c>
      <c r="CM46" s="64">
        <v>8</v>
      </c>
      <c r="CN46" s="71" t="s">
        <v>334</v>
      </c>
      <c r="CO46" s="71" t="s">
        <v>249</v>
      </c>
      <c r="CP46" s="71" t="s">
        <v>249</v>
      </c>
      <c r="CQ46" s="71" t="s">
        <v>371</v>
      </c>
      <c r="CY46" s="110" t="str">
        <f t="shared" si="15"/>
        <v/>
      </c>
      <c r="CZ46" s="80" t="str">
        <f t="shared" si="31"/>
        <v/>
      </c>
      <c r="DB46" s="81" t="str">
        <f t="shared" si="17"/>
        <v/>
      </c>
      <c r="DD46" s="81" t="str">
        <f t="shared" si="18"/>
        <v/>
      </c>
      <c r="DE46" s="80" t="str">
        <f t="shared" si="32"/>
        <v/>
      </c>
      <c r="DG46" s="70">
        <f t="shared" si="20"/>
        <v>16</v>
      </c>
      <c r="DH46" s="71" t="s">
        <v>239</v>
      </c>
      <c r="JU46" s="71" t="s">
        <v>252</v>
      </c>
    </row>
    <row r="47" spans="1:281" s="97" customFormat="1" ht="20" customHeight="1" x14ac:dyDescent="0.2">
      <c r="A47" s="95"/>
      <c r="L47" s="148"/>
      <c r="P47" s="99"/>
      <c r="Q47" s="99"/>
      <c r="R47" s="99"/>
      <c r="S47" s="99"/>
      <c r="T47" s="99"/>
      <c r="U47" s="99"/>
    </row>
    <row r="48" spans="1:281" s="85" customFormat="1" ht="20" customHeight="1" x14ac:dyDescent="0.2">
      <c r="A48" s="83">
        <v>222</v>
      </c>
      <c r="B48" s="84" t="s">
        <v>694</v>
      </c>
      <c r="C48" s="84" t="s">
        <v>374</v>
      </c>
      <c r="D48" s="84" t="s">
        <v>231</v>
      </c>
      <c r="E48" s="85">
        <v>15</v>
      </c>
      <c r="F48" s="85" t="s">
        <v>239</v>
      </c>
      <c r="G48" s="84" t="s">
        <v>237</v>
      </c>
      <c r="H48" s="84">
        <v>38784095</v>
      </c>
      <c r="I48" s="84" t="s">
        <v>861</v>
      </c>
      <c r="J48" s="84" t="s">
        <v>375</v>
      </c>
      <c r="K48" s="85">
        <v>2024</v>
      </c>
      <c r="L48" s="119" t="s">
        <v>376</v>
      </c>
      <c r="N48" s="84" t="s">
        <v>234</v>
      </c>
      <c r="O48" s="84" t="s">
        <v>377</v>
      </c>
      <c r="P48" s="87" t="s">
        <v>254</v>
      </c>
      <c r="Q48" s="87"/>
      <c r="R48" s="87"/>
      <c r="S48" s="87"/>
      <c r="T48" s="87"/>
      <c r="U48" s="87"/>
      <c r="V48" s="84" t="s">
        <v>236</v>
      </c>
      <c r="W48" s="84" t="s">
        <v>237</v>
      </c>
      <c r="X48" s="84" t="s">
        <v>284</v>
      </c>
      <c r="Y48" s="84" t="s">
        <v>828</v>
      </c>
      <c r="Z48" s="84" t="s">
        <v>239</v>
      </c>
      <c r="AA48" s="85">
        <v>1024</v>
      </c>
      <c r="AB48" s="84" t="s">
        <v>237</v>
      </c>
      <c r="AC48" s="84" t="s">
        <v>922</v>
      </c>
      <c r="AD48" s="84" t="s">
        <v>239</v>
      </c>
      <c r="AE48" s="84" t="s">
        <v>341</v>
      </c>
      <c r="AF48" s="84" t="s">
        <v>239</v>
      </c>
      <c r="AG48" s="84" t="s">
        <v>240</v>
      </c>
      <c r="AH48" s="84" t="s">
        <v>239</v>
      </c>
      <c r="AI48" s="85">
        <v>30</v>
      </c>
      <c r="AK48" s="84" t="s">
        <v>239</v>
      </c>
      <c r="AL48" s="85">
        <v>6000</v>
      </c>
      <c r="AM48" s="84" t="s">
        <v>259</v>
      </c>
      <c r="AN48" s="84" t="s">
        <v>378</v>
      </c>
      <c r="AO48" s="84"/>
      <c r="AP48" s="84"/>
      <c r="AQ48" s="84"/>
      <c r="AR48" s="85">
        <v>128</v>
      </c>
      <c r="AS48" s="84"/>
      <c r="AT48" s="84"/>
      <c r="AU48" s="84"/>
      <c r="AV48" s="84"/>
      <c r="AX48" s="84" t="s">
        <v>244</v>
      </c>
      <c r="AY48" s="84" t="s">
        <v>245</v>
      </c>
      <c r="BB48" s="84" t="s">
        <v>379</v>
      </c>
      <c r="BC48" s="103">
        <v>6.8</v>
      </c>
      <c r="BD48" s="103">
        <v>1.5</v>
      </c>
      <c r="BE48" s="103"/>
      <c r="BF48" s="103">
        <v>8.3000000000000007</v>
      </c>
      <c r="BG48" s="103">
        <v>2.1</v>
      </c>
      <c r="BH48" s="103"/>
      <c r="BI48" s="84"/>
      <c r="BJ48" s="85">
        <v>2</v>
      </c>
      <c r="BK48" s="89" t="str">
        <f t="shared" si="26"/>
        <v>Control_greater_than_case</v>
      </c>
      <c r="BP48" s="84" t="s">
        <v>240</v>
      </c>
      <c r="BR48" s="84" t="s">
        <v>247</v>
      </c>
      <c r="BS48" s="84" t="s">
        <v>254</v>
      </c>
      <c r="CG48" s="84" t="s">
        <v>237</v>
      </c>
      <c r="CH48" s="84" t="s">
        <v>237</v>
      </c>
      <c r="CJ48" s="84" t="s">
        <v>239</v>
      </c>
      <c r="CK48" s="84" t="s">
        <v>248</v>
      </c>
      <c r="CL48" s="85">
        <v>15</v>
      </c>
      <c r="CM48" s="85">
        <v>17</v>
      </c>
      <c r="CN48" s="84" t="s">
        <v>249</v>
      </c>
      <c r="CO48" s="84" t="s">
        <v>249</v>
      </c>
      <c r="CP48" s="84" t="s">
        <v>249</v>
      </c>
      <c r="CQ48" s="84" t="s">
        <v>380</v>
      </c>
      <c r="CR48" s="89" t="s">
        <v>381</v>
      </c>
      <c r="CU48" s="104">
        <v>37.5</v>
      </c>
      <c r="CV48" s="104">
        <v>8.8000000000000007</v>
      </c>
      <c r="CW48" s="104">
        <v>42.8</v>
      </c>
      <c r="CX48" s="104">
        <v>10.5</v>
      </c>
      <c r="CY48" s="123">
        <f t="shared" si="15"/>
        <v>40.315624999999997</v>
      </c>
      <c r="CZ48" s="93">
        <f t="shared" ref="CZ48:CZ49" si="33">IF(OR(CY48="",CV48="",CX48=""),"",SQRT(((CL48-1)*(CV48^2) + (CM48-1)*(CX48^2) + CL48*(CU48-CY48)^2 + CM48*(CW48-CY48)^2) / (CL48+CM48-1)))</f>
        <v>9.9547398136799394</v>
      </c>
      <c r="DA48" s="147">
        <v>11</v>
      </c>
      <c r="DB48" s="94">
        <f t="shared" si="17"/>
        <v>73.333333333333329</v>
      </c>
      <c r="DC48" s="105">
        <v>14</v>
      </c>
      <c r="DD48" s="94">
        <f t="shared" si="18"/>
        <v>82.35294117647058</v>
      </c>
      <c r="DE48" s="93">
        <f t="shared" ref="DE48:DE49" si="34">IF(AND(DA48&lt;&gt;"",DC48&lt;&gt;""),(DA48+DC48)/(CL48+CM48)*100,
   IF(AND(DB48&lt;&gt;"",DD48&lt;&gt;""),(DB48*CL48 + DD48*CM48)/(CL48+CM48),
   ""))</f>
        <v>78.125</v>
      </c>
      <c r="DG48" s="90">
        <f t="shared" si="20"/>
        <v>32</v>
      </c>
      <c r="DH48" s="84" t="s">
        <v>237</v>
      </c>
      <c r="DI48" s="85">
        <v>0</v>
      </c>
      <c r="DJ48" s="85">
        <v>100</v>
      </c>
      <c r="DM48" s="84" t="s">
        <v>382</v>
      </c>
      <c r="DN48" s="84" t="s">
        <v>832</v>
      </c>
      <c r="DO48" s="84" t="s">
        <v>239</v>
      </c>
      <c r="DP48" s="84"/>
      <c r="DQ48" s="84"/>
      <c r="DR48" s="84"/>
      <c r="DS48" s="85">
        <v>1.6</v>
      </c>
      <c r="DT48" s="85">
        <v>1.53</v>
      </c>
      <c r="JU48" s="84" t="s">
        <v>252</v>
      </c>
    </row>
    <row r="49" spans="1:281" s="64" customFormat="1" ht="20" customHeight="1" x14ac:dyDescent="0.2">
      <c r="A49" s="106">
        <v>222</v>
      </c>
      <c r="B49" s="71" t="s">
        <v>695</v>
      </c>
      <c r="C49" s="71" t="s">
        <v>374</v>
      </c>
      <c r="D49" s="71" t="s">
        <v>231</v>
      </c>
      <c r="E49" s="64">
        <v>15</v>
      </c>
      <c r="F49" s="64" t="s">
        <v>239</v>
      </c>
      <c r="G49" s="71" t="s">
        <v>237</v>
      </c>
      <c r="H49" s="71">
        <v>38784095</v>
      </c>
      <c r="I49" s="71" t="s">
        <v>862</v>
      </c>
      <c r="J49" s="71" t="s">
        <v>375</v>
      </c>
      <c r="K49" s="64">
        <v>2024</v>
      </c>
      <c r="L49" s="124" t="s">
        <v>376</v>
      </c>
      <c r="N49" s="71" t="s">
        <v>234</v>
      </c>
      <c r="O49" s="71" t="s">
        <v>383</v>
      </c>
      <c r="P49" s="108" t="s">
        <v>235</v>
      </c>
      <c r="Q49" s="108"/>
      <c r="R49" s="108"/>
      <c r="S49" s="108"/>
      <c r="T49" s="108"/>
      <c r="U49" s="108"/>
      <c r="V49" s="71" t="s">
        <v>236</v>
      </c>
      <c r="W49" s="71" t="s">
        <v>237</v>
      </c>
      <c r="X49" s="71" t="s">
        <v>284</v>
      </c>
      <c r="Y49" s="71" t="s">
        <v>828</v>
      </c>
      <c r="Z49" s="71" t="s">
        <v>239</v>
      </c>
      <c r="AA49" s="64">
        <v>1024</v>
      </c>
      <c r="AB49" s="71" t="s">
        <v>237</v>
      </c>
      <c r="AC49" s="71" t="s">
        <v>922</v>
      </c>
      <c r="AD49" s="71" t="s">
        <v>239</v>
      </c>
      <c r="AE49" s="71" t="s">
        <v>341</v>
      </c>
      <c r="AF49" s="71" t="s">
        <v>239</v>
      </c>
      <c r="AG49" s="71" t="s">
        <v>240</v>
      </c>
      <c r="AH49" s="71" t="s">
        <v>239</v>
      </c>
      <c r="AI49" s="64">
        <v>30</v>
      </c>
      <c r="AK49" s="71" t="s">
        <v>239</v>
      </c>
      <c r="AL49" s="64">
        <v>6000</v>
      </c>
      <c r="AM49" s="71" t="s">
        <v>259</v>
      </c>
      <c r="AN49" s="71" t="s">
        <v>378</v>
      </c>
      <c r="AO49" s="71"/>
      <c r="AP49" s="71"/>
      <c r="AQ49" s="71"/>
      <c r="AR49" s="64">
        <v>128</v>
      </c>
      <c r="AS49" s="71"/>
      <c r="AT49" s="71"/>
      <c r="AU49" s="71"/>
      <c r="AV49" s="71"/>
      <c r="AX49" s="71" t="s">
        <v>244</v>
      </c>
      <c r="AY49" s="71" t="s">
        <v>245</v>
      </c>
      <c r="BB49" s="71" t="s">
        <v>379</v>
      </c>
      <c r="BC49" s="115">
        <v>8</v>
      </c>
      <c r="BD49" s="115">
        <v>1.9</v>
      </c>
      <c r="BE49" s="115"/>
      <c r="BF49" s="115">
        <v>8.1999999999999993</v>
      </c>
      <c r="BG49" s="115">
        <v>2.1</v>
      </c>
      <c r="BH49" s="115"/>
      <c r="BI49" s="71"/>
      <c r="BJ49" s="64">
        <v>2</v>
      </c>
      <c r="BK49" s="73" t="str">
        <f t="shared" si="26"/>
        <v>Control_greater_than_case</v>
      </c>
      <c r="BP49" s="71" t="s">
        <v>240</v>
      </c>
      <c r="BR49" s="71" t="s">
        <v>247</v>
      </c>
      <c r="BS49" s="71" t="s">
        <v>235</v>
      </c>
      <c r="CG49" s="71" t="s">
        <v>237</v>
      </c>
      <c r="CH49" s="71" t="s">
        <v>237</v>
      </c>
      <c r="CJ49" s="71" t="s">
        <v>239</v>
      </c>
      <c r="CK49" s="71" t="s">
        <v>248</v>
      </c>
      <c r="CL49" s="64">
        <v>15</v>
      </c>
      <c r="CM49" s="64">
        <v>17</v>
      </c>
      <c r="CN49" s="71" t="s">
        <v>249</v>
      </c>
      <c r="CO49" s="71" t="s">
        <v>249</v>
      </c>
      <c r="CP49" s="71" t="s">
        <v>249</v>
      </c>
      <c r="CQ49" s="71" t="s">
        <v>380</v>
      </c>
      <c r="CR49" s="73" t="s">
        <v>381</v>
      </c>
      <c r="CU49" s="116">
        <v>37.5</v>
      </c>
      <c r="CV49" s="116">
        <v>8.8000000000000007</v>
      </c>
      <c r="CW49" s="116">
        <v>42.8</v>
      </c>
      <c r="CX49" s="116">
        <v>10.5</v>
      </c>
      <c r="CY49" s="79">
        <f t="shared" si="15"/>
        <v>40.315624999999997</v>
      </c>
      <c r="CZ49" s="80">
        <f t="shared" si="33"/>
        <v>9.9547398136799394</v>
      </c>
      <c r="DA49" s="149">
        <v>11</v>
      </c>
      <c r="DB49" s="81">
        <f t="shared" si="17"/>
        <v>73.333333333333329</v>
      </c>
      <c r="DC49" s="117">
        <v>14</v>
      </c>
      <c r="DD49" s="81">
        <f t="shared" si="18"/>
        <v>82.35294117647058</v>
      </c>
      <c r="DE49" s="80">
        <f t="shared" si="34"/>
        <v>78.125</v>
      </c>
      <c r="DG49" s="70">
        <f t="shared" si="20"/>
        <v>32</v>
      </c>
      <c r="DH49" s="71" t="s">
        <v>237</v>
      </c>
      <c r="DI49" s="64">
        <v>0</v>
      </c>
      <c r="DJ49" s="64">
        <v>100</v>
      </c>
      <c r="DM49" s="71" t="s">
        <v>382</v>
      </c>
      <c r="DN49" s="71" t="s">
        <v>832</v>
      </c>
      <c r="DO49" s="71" t="s">
        <v>239</v>
      </c>
      <c r="DP49" s="71"/>
      <c r="DQ49" s="71"/>
      <c r="DR49" s="71"/>
      <c r="DS49" s="64">
        <v>1.6</v>
      </c>
      <c r="DT49" s="64">
        <v>1.53</v>
      </c>
      <c r="JU49" s="71" t="s">
        <v>252</v>
      </c>
    </row>
    <row r="50" spans="1:281" s="97" customFormat="1" ht="20" customHeight="1" x14ac:dyDescent="0.2">
      <c r="A50" s="95"/>
      <c r="L50" s="148"/>
      <c r="P50" s="99"/>
      <c r="Q50" s="99"/>
      <c r="R50" s="99"/>
      <c r="S50" s="99"/>
      <c r="T50" s="99"/>
      <c r="U50" s="99"/>
    </row>
    <row r="51" spans="1:281" s="85" customFormat="1" ht="20" customHeight="1" x14ac:dyDescent="0.2">
      <c r="A51" s="83">
        <v>24</v>
      </c>
      <c r="B51" s="84" t="s">
        <v>696</v>
      </c>
      <c r="C51" s="84" t="s">
        <v>384</v>
      </c>
      <c r="D51" s="84" t="s">
        <v>231</v>
      </c>
      <c r="E51" s="85">
        <v>16</v>
      </c>
      <c r="F51" s="85" t="s">
        <v>239</v>
      </c>
      <c r="G51" s="84" t="s">
        <v>237</v>
      </c>
      <c r="H51" s="84">
        <v>37651844</v>
      </c>
      <c r="I51" s="84" t="s">
        <v>863</v>
      </c>
      <c r="J51" s="84" t="s">
        <v>385</v>
      </c>
      <c r="K51" s="85">
        <v>2023</v>
      </c>
      <c r="L51" s="119" t="s">
        <v>386</v>
      </c>
      <c r="N51" s="84" t="s">
        <v>234</v>
      </c>
      <c r="O51" s="84" t="s">
        <v>265</v>
      </c>
      <c r="P51" s="87" t="s">
        <v>817</v>
      </c>
      <c r="Q51" s="87" t="s">
        <v>817</v>
      </c>
      <c r="R51" s="87"/>
      <c r="S51" s="87"/>
      <c r="T51" s="87"/>
      <c r="U51" s="87"/>
      <c r="V51" s="84" t="s">
        <v>367</v>
      </c>
      <c r="W51" s="84" t="s">
        <v>237</v>
      </c>
      <c r="X51" s="84" t="s">
        <v>323</v>
      </c>
      <c r="Y51" s="84" t="s">
        <v>323</v>
      </c>
      <c r="Z51" s="84" t="s">
        <v>240</v>
      </c>
      <c r="AB51" s="84" t="s">
        <v>237</v>
      </c>
      <c r="AC51" s="84" t="s">
        <v>923</v>
      </c>
      <c r="AD51" s="84" t="s">
        <v>239</v>
      </c>
      <c r="AE51" s="84" t="s">
        <v>874</v>
      </c>
      <c r="AF51" s="84" t="s">
        <v>239</v>
      </c>
      <c r="AG51" s="84" t="s">
        <v>240</v>
      </c>
      <c r="AH51" s="84" t="s">
        <v>239</v>
      </c>
      <c r="AI51" s="85">
        <v>10</v>
      </c>
      <c r="AK51" s="84" t="s">
        <v>239</v>
      </c>
      <c r="AL51" s="85">
        <v>3000</v>
      </c>
      <c r="AM51" s="84" t="s">
        <v>259</v>
      </c>
      <c r="AN51" s="84" t="s">
        <v>387</v>
      </c>
      <c r="AO51" s="84"/>
      <c r="AP51" s="84"/>
      <c r="AQ51" s="84"/>
      <c r="AR51" s="85">
        <v>96</v>
      </c>
      <c r="AS51" s="104">
        <v>1.9</v>
      </c>
      <c r="AT51" s="104">
        <v>0.4</v>
      </c>
      <c r="AU51" s="147">
        <v>2</v>
      </c>
      <c r="AV51" s="147">
        <v>0</v>
      </c>
      <c r="AW51" s="85">
        <v>2</v>
      </c>
      <c r="AX51" s="84" t="s">
        <v>253</v>
      </c>
      <c r="AY51" s="84" t="s">
        <v>245</v>
      </c>
      <c r="BB51" s="84" t="s">
        <v>379</v>
      </c>
      <c r="BC51" s="103">
        <v>12.1</v>
      </c>
      <c r="BD51" s="103">
        <v>1.3</v>
      </c>
      <c r="BE51" s="103"/>
      <c r="BF51" s="103">
        <v>11.4</v>
      </c>
      <c r="BG51" s="103">
        <v>0.8</v>
      </c>
      <c r="BH51" s="103"/>
      <c r="BP51" s="84" t="s">
        <v>240</v>
      </c>
      <c r="BR51" s="84" t="s">
        <v>262</v>
      </c>
      <c r="CG51" s="84" t="s">
        <v>237</v>
      </c>
      <c r="CH51" s="84" t="s">
        <v>239</v>
      </c>
      <c r="CJ51" s="84" t="s">
        <v>239</v>
      </c>
      <c r="CK51" s="84" t="s">
        <v>248</v>
      </c>
      <c r="CL51" s="85">
        <v>7</v>
      </c>
      <c r="CM51" s="85">
        <v>8</v>
      </c>
      <c r="CN51" s="84" t="s">
        <v>249</v>
      </c>
      <c r="CO51" s="84" t="s">
        <v>249</v>
      </c>
      <c r="CP51" s="84" t="s">
        <v>249</v>
      </c>
      <c r="CQ51" s="84" t="s">
        <v>388</v>
      </c>
      <c r="CR51" s="89" t="s">
        <v>389</v>
      </c>
      <c r="CU51" s="85">
        <v>40</v>
      </c>
      <c r="CW51" s="85">
        <v>41</v>
      </c>
      <c r="CY51" s="123">
        <f t="shared" si="15"/>
        <v>40.533333333333331</v>
      </c>
      <c r="CZ51" s="93" t="str">
        <f t="shared" ref="CZ51:CZ54" si="35">IF(OR(CY51="",CV51="",CX51=""),"",SQRT(((CL51-1)*(CV51^2) + (CM51-1)*(CX51^2) + CL51*(CU51-CY51)^2 + CM51*(CW51-CY51)^2) / (CL51+CM51-1)))</f>
        <v/>
      </c>
      <c r="DB51" s="94" t="str">
        <f t="shared" si="17"/>
        <v/>
      </c>
      <c r="DD51" s="94" t="str">
        <f t="shared" si="18"/>
        <v/>
      </c>
      <c r="DE51" s="93" t="str">
        <f t="shared" ref="DE51:DE54" si="36">IF(AND(DA51&lt;&gt;"",DC51&lt;&gt;""),(DA51+DC51)/(CL51+CM51)*100,
   IF(AND(DB51&lt;&gt;"",DD51&lt;&gt;""),(DB51*CL51 + DD51*CM51)/(CL51+CM51),
   ""))</f>
        <v/>
      </c>
      <c r="DG51" s="90">
        <f t="shared" si="20"/>
        <v>15</v>
      </c>
      <c r="DH51" s="84" t="s">
        <v>237</v>
      </c>
      <c r="DI51" s="88"/>
      <c r="DK51" s="84" t="s">
        <v>239</v>
      </c>
      <c r="DL51" s="89" t="s">
        <v>390</v>
      </c>
      <c r="DO51" s="84" t="s">
        <v>239</v>
      </c>
      <c r="DP51" s="84"/>
      <c r="DQ51" s="84"/>
      <c r="DR51" s="84"/>
      <c r="DS51" s="85">
        <f>AVERAGE(1.5,1.5,1.5,2.5,1)</f>
        <v>1.6</v>
      </c>
      <c r="DT51" s="88">
        <f>STDEV(1.5,1.5,1.5,2.5,1)</f>
        <v>0.54772255750516596</v>
      </c>
      <c r="JU51" s="84" t="s">
        <v>252</v>
      </c>
    </row>
    <row r="52" spans="1:281" s="8" customFormat="1" ht="20" customHeight="1" x14ac:dyDescent="0.2">
      <c r="A52" s="35">
        <v>24</v>
      </c>
      <c r="B52" s="7" t="s">
        <v>697</v>
      </c>
      <c r="C52" s="7" t="s">
        <v>384</v>
      </c>
      <c r="D52" s="7" t="s">
        <v>231</v>
      </c>
      <c r="E52" s="8">
        <v>16</v>
      </c>
      <c r="F52" s="8" t="s">
        <v>239</v>
      </c>
      <c r="G52" s="7" t="s">
        <v>237</v>
      </c>
      <c r="H52" s="7">
        <v>37651844</v>
      </c>
      <c r="I52" s="7" t="s">
        <v>864</v>
      </c>
      <c r="J52" s="7" t="s">
        <v>385</v>
      </c>
      <c r="K52" s="8">
        <v>2023</v>
      </c>
      <c r="L52" s="12" t="s">
        <v>386</v>
      </c>
      <c r="N52" s="7" t="s">
        <v>234</v>
      </c>
      <c r="O52" s="7" t="s">
        <v>265</v>
      </c>
      <c r="P52" s="36" t="s">
        <v>817</v>
      </c>
      <c r="Q52" s="36" t="s">
        <v>817</v>
      </c>
      <c r="R52" s="36"/>
      <c r="S52" s="36"/>
      <c r="T52" s="36"/>
      <c r="U52" s="36"/>
      <c r="V52" s="7" t="s">
        <v>367</v>
      </c>
      <c r="W52" s="7" t="s">
        <v>237</v>
      </c>
      <c r="X52" s="7" t="s">
        <v>323</v>
      </c>
      <c r="Y52" s="7" t="s">
        <v>323</v>
      </c>
      <c r="Z52" s="7" t="s">
        <v>240</v>
      </c>
      <c r="AB52" s="7" t="s">
        <v>237</v>
      </c>
      <c r="AC52" s="7" t="s">
        <v>923</v>
      </c>
      <c r="AD52" s="7" t="s">
        <v>239</v>
      </c>
      <c r="AE52" s="7" t="s">
        <v>874</v>
      </c>
      <c r="AF52" s="7" t="s">
        <v>239</v>
      </c>
      <c r="AG52" s="7" t="s">
        <v>240</v>
      </c>
      <c r="AH52" s="7" t="s">
        <v>239</v>
      </c>
      <c r="AI52" s="8">
        <v>10</v>
      </c>
      <c r="AK52" s="7" t="s">
        <v>239</v>
      </c>
      <c r="AL52" s="8">
        <v>3000</v>
      </c>
      <c r="AM52" s="7" t="s">
        <v>259</v>
      </c>
      <c r="AN52" s="7" t="s">
        <v>387</v>
      </c>
      <c r="AO52" s="7"/>
      <c r="AP52" s="7"/>
      <c r="AQ52" s="7"/>
      <c r="AR52" s="8">
        <v>96</v>
      </c>
      <c r="AS52" s="42">
        <v>3.6</v>
      </c>
      <c r="AT52" s="42">
        <v>0.8</v>
      </c>
      <c r="AU52" s="42">
        <v>3.8</v>
      </c>
      <c r="AV52" s="42">
        <v>0.9</v>
      </c>
      <c r="AW52" s="8">
        <v>4</v>
      </c>
      <c r="AX52" s="7" t="s">
        <v>391</v>
      </c>
      <c r="AY52" s="7" t="s">
        <v>245</v>
      </c>
      <c r="BB52" s="7" t="s">
        <v>379</v>
      </c>
      <c r="BC52" s="41">
        <v>4.9000000000000004</v>
      </c>
      <c r="BD52" s="41">
        <v>0.8</v>
      </c>
      <c r="BE52" s="41"/>
      <c r="BF52" s="41">
        <v>4.5</v>
      </c>
      <c r="BG52" s="41">
        <v>0.7</v>
      </c>
      <c r="BH52" s="41"/>
      <c r="BP52" s="7" t="s">
        <v>240</v>
      </c>
      <c r="BR52" s="7" t="s">
        <v>262</v>
      </c>
      <c r="CG52" s="7" t="s">
        <v>237</v>
      </c>
      <c r="CH52" s="7" t="s">
        <v>239</v>
      </c>
      <c r="CJ52" s="7" t="s">
        <v>239</v>
      </c>
      <c r="CK52" s="7" t="s">
        <v>248</v>
      </c>
      <c r="CL52" s="8">
        <v>7</v>
      </c>
      <c r="CM52" s="8">
        <v>8</v>
      </c>
      <c r="CN52" s="7" t="s">
        <v>249</v>
      </c>
      <c r="CO52" s="7" t="s">
        <v>249</v>
      </c>
      <c r="CP52" s="7" t="s">
        <v>249</v>
      </c>
      <c r="CQ52" s="7" t="s">
        <v>388</v>
      </c>
      <c r="CR52" s="5" t="s">
        <v>389</v>
      </c>
      <c r="CU52" s="8">
        <v>40</v>
      </c>
      <c r="CW52" s="8">
        <v>41</v>
      </c>
      <c r="CY52" s="27">
        <f t="shared" si="15"/>
        <v>40.533333333333331</v>
      </c>
      <c r="CZ52" s="28" t="str">
        <f t="shared" si="35"/>
        <v/>
      </c>
      <c r="DB52" s="29" t="str">
        <f t="shared" si="17"/>
        <v/>
      </c>
      <c r="DD52" s="29" t="str">
        <f t="shared" si="18"/>
        <v/>
      </c>
      <c r="DE52" s="28" t="str">
        <f t="shared" si="36"/>
        <v/>
      </c>
      <c r="DG52" s="6">
        <f t="shared" si="20"/>
        <v>15</v>
      </c>
      <c r="DH52" s="7" t="s">
        <v>237</v>
      </c>
      <c r="DI52" s="11"/>
      <c r="DK52" s="7" t="s">
        <v>239</v>
      </c>
      <c r="DL52" s="5" t="s">
        <v>390</v>
      </c>
      <c r="DO52" s="7" t="s">
        <v>239</v>
      </c>
      <c r="DP52" s="7"/>
      <c r="DQ52" s="7"/>
      <c r="DR52" s="7"/>
      <c r="DS52" s="8">
        <f t="shared" ref="DS52:DS54" si="37">AVERAGE(1.5,1.5,1.5,2.5,1)</f>
        <v>1.6</v>
      </c>
      <c r="DT52" s="11">
        <f t="shared" ref="DT52:DT54" si="38">STDEV(1.5,1.5,1.5,2.5,1)</f>
        <v>0.54772255750516596</v>
      </c>
      <c r="JU52" s="7" t="s">
        <v>252</v>
      </c>
    </row>
    <row r="53" spans="1:281" s="8" customFormat="1" ht="20" customHeight="1" x14ac:dyDescent="0.2">
      <c r="A53" s="35">
        <v>24</v>
      </c>
      <c r="B53" s="7" t="s">
        <v>698</v>
      </c>
      <c r="C53" s="7" t="s">
        <v>384</v>
      </c>
      <c r="D53" s="7" t="s">
        <v>231</v>
      </c>
      <c r="E53" s="8">
        <v>16</v>
      </c>
      <c r="F53" s="8" t="s">
        <v>239</v>
      </c>
      <c r="G53" s="7" t="s">
        <v>237</v>
      </c>
      <c r="H53" s="7">
        <v>37651844</v>
      </c>
      <c r="I53" s="7" t="s">
        <v>865</v>
      </c>
      <c r="J53" s="7" t="s">
        <v>385</v>
      </c>
      <c r="K53" s="8">
        <v>2023</v>
      </c>
      <c r="L53" s="12" t="s">
        <v>386</v>
      </c>
      <c r="N53" s="7" t="s">
        <v>234</v>
      </c>
      <c r="O53" s="7" t="s">
        <v>392</v>
      </c>
      <c r="P53" s="36" t="s">
        <v>823</v>
      </c>
      <c r="Q53" s="36" t="s">
        <v>823</v>
      </c>
      <c r="R53" s="36"/>
      <c r="S53" s="36"/>
      <c r="T53" s="36"/>
      <c r="U53" s="36"/>
      <c r="V53" s="7" t="s">
        <v>367</v>
      </c>
      <c r="W53" s="7" t="s">
        <v>237</v>
      </c>
      <c r="X53" s="7" t="s">
        <v>323</v>
      </c>
      <c r="Y53" s="7" t="s">
        <v>323</v>
      </c>
      <c r="Z53" s="7" t="s">
        <v>240</v>
      </c>
      <c r="AB53" s="7" t="s">
        <v>237</v>
      </c>
      <c r="AC53" s="7" t="s">
        <v>923</v>
      </c>
      <c r="AD53" s="7" t="s">
        <v>239</v>
      </c>
      <c r="AE53" s="7" t="s">
        <v>874</v>
      </c>
      <c r="AF53" s="7" t="s">
        <v>239</v>
      </c>
      <c r="AG53" s="7" t="s">
        <v>240</v>
      </c>
      <c r="AH53" s="7" t="s">
        <v>239</v>
      </c>
      <c r="AI53" s="8">
        <v>10</v>
      </c>
      <c r="AK53" s="7" t="s">
        <v>239</v>
      </c>
      <c r="AL53" s="8">
        <v>3000</v>
      </c>
      <c r="AM53" s="7" t="s">
        <v>259</v>
      </c>
      <c r="AN53" s="7" t="s">
        <v>387</v>
      </c>
      <c r="AO53" s="7"/>
      <c r="AP53" s="7"/>
      <c r="AQ53" s="7"/>
      <c r="AR53" s="8">
        <v>96</v>
      </c>
      <c r="AS53" s="46">
        <v>2</v>
      </c>
      <c r="AT53" s="46">
        <v>0</v>
      </c>
      <c r="AU53" s="42">
        <v>1.8</v>
      </c>
      <c r="AV53" s="42">
        <v>0.4</v>
      </c>
      <c r="AW53" s="8">
        <v>2</v>
      </c>
      <c r="AX53" s="7" t="s">
        <v>253</v>
      </c>
      <c r="AY53" s="7" t="s">
        <v>245</v>
      </c>
      <c r="BB53" s="7" t="s">
        <v>379</v>
      </c>
      <c r="BC53" s="41">
        <v>10.7</v>
      </c>
      <c r="BD53" s="41">
        <v>1.1000000000000001</v>
      </c>
      <c r="BE53" s="41"/>
      <c r="BF53" s="41">
        <v>10.5</v>
      </c>
      <c r="BG53" s="41">
        <v>0.7</v>
      </c>
      <c r="BH53" s="41"/>
      <c r="BP53" s="7" t="s">
        <v>240</v>
      </c>
      <c r="BR53" s="7" t="s">
        <v>262</v>
      </c>
      <c r="CG53" s="7" t="s">
        <v>237</v>
      </c>
      <c r="CH53" s="7" t="s">
        <v>239</v>
      </c>
      <c r="CJ53" s="7" t="s">
        <v>239</v>
      </c>
      <c r="CK53" s="7" t="s">
        <v>248</v>
      </c>
      <c r="CL53" s="8">
        <v>6</v>
      </c>
      <c r="CM53" s="8">
        <v>6</v>
      </c>
      <c r="CN53" s="7" t="s">
        <v>249</v>
      </c>
      <c r="CO53" s="7" t="s">
        <v>249</v>
      </c>
      <c r="CP53" s="7" t="s">
        <v>249</v>
      </c>
      <c r="CQ53" s="7" t="s">
        <v>388</v>
      </c>
      <c r="CR53" s="5" t="s">
        <v>389</v>
      </c>
      <c r="CU53" s="8">
        <v>40</v>
      </c>
      <c r="CW53" s="8">
        <v>41</v>
      </c>
      <c r="CY53" s="27">
        <f t="shared" si="15"/>
        <v>40.5</v>
      </c>
      <c r="CZ53" s="28" t="str">
        <f t="shared" si="35"/>
        <v/>
      </c>
      <c r="DB53" s="29" t="str">
        <f t="shared" si="17"/>
        <v/>
      </c>
      <c r="DD53" s="29" t="str">
        <f t="shared" si="18"/>
        <v/>
      </c>
      <c r="DE53" s="28" t="str">
        <f t="shared" si="36"/>
        <v/>
      </c>
      <c r="DG53" s="6">
        <f t="shared" si="20"/>
        <v>12</v>
      </c>
      <c r="DH53" s="7" t="s">
        <v>237</v>
      </c>
      <c r="DK53" s="7" t="s">
        <v>239</v>
      </c>
      <c r="DL53" s="5" t="s">
        <v>390</v>
      </c>
      <c r="DO53" s="7" t="s">
        <v>239</v>
      </c>
      <c r="DP53" s="7"/>
      <c r="DQ53" s="7"/>
      <c r="DR53" s="7"/>
      <c r="DS53" s="8">
        <f t="shared" si="37"/>
        <v>1.6</v>
      </c>
      <c r="DT53" s="11">
        <f t="shared" si="38"/>
        <v>0.54772255750516596</v>
      </c>
      <c r="JU53" s="7" t="s">
        <v>252</v>
      </c>
    </row>
    <row r="54" spans="1:281" s="64" customFormat="1" ht="20" customHeight="1" x14ac:dyDescent="0.2">
      <c r="A54" s="106">
        <v>24</v>
      </c>
      <c r="B54" s="71" t="s">
        <v>699</v>
      </c>
      <c r="C54" s="71" t="s">
        <v>384</v>
      </c>
      <c r="D54" s="71" t="s">
        <v>231</v>
      </c>
      <c r="E54" s="64">
        <v>16</v>
      </c>
      <c r="F54" s="64" t="s">
        <v>239</v>
      </c>
      <c r="G54" s="71" t="s">
        <v>237</v>
      </c>
      <c r="H54" s="71">
        <v>37651844</v>
      </c>
      <c r="I54" s="71" t="s">
        <v>866</v>
      </c>
      <c r="J54" s="71" t="s">
        <v>385</v>
      </c>
      <c r="K54" s="64">
        <v>2023</v>
      </c>
      <c r="L54" s="124" t="s">
        <v>386</v>
      </c>
      <c r="N54" s="71" t="s">
        <v>234</v>
      </c>
      <c r="O54" s="71" t="s">
        <v>392</v>
      </c>
      <c r="P54" s="108" t="s">
        <v>823</v>
      </c>
      <c r="Q54" s="108" t="s">
        <v>823</v>
      </c>
      <c r="R54" s="108"/>
      <c r="S54" s="108"/>
      <c r="T54" s="108"/>
      <c r="U54" s="108"/>
      <c r="V54" s="71" t="s">
        <v>367</v>
      </c>
      <c r="W54" s="71" t="s">
        <v>237</v>
      </c>
      <c r="X54" s="71" t="s">
        <v>323</v>
      </c>
      <c r="Y54" s="71" t="s">
        <v>323</v>
      </c>
      <c r="Z54" s="71" t="s">
        <v>240</v>
      </c>
      <c r="AB54" s="71" t="s">
        <v>237</v>
      </c>
      <c r="AC54" s="71" t="s">
        <v>923</v>
      </c>
      <c r="AD54" s="71" t="s">
        <v>239</v>
      </c>
      <c r="AE54" s="71" t="s">
        <v>874</v>
      </c>
      <c r="AF54" s="71" t="s">
        <v>239</v>
      </c>
      <c r="AG54" s="71" t="s">
        <v>240</v>
      </c>
      <c r="AH54" s="71" t="s">
        <v>239</v>
      </c>
      <c r="AI54" s="64">
        <v>10</v>
      </c>
      <c r="AK54" s="71" t="s">
        <v>239</v>
      </c>
      <c r="AL54" s="64">
        <v>3000</v>
      </c>
      <c r="AM54" s="71" t="s">
        <v>259</v>
      </c>
      <c r="AN54" s="71" t="s">
        <v>387</v>
      </c>
      <c r="AO54" s="71"/>
      <c r="AP54" s="71"/>
      <c r="AQ54" s="71"/>
      <c r="AR54" s="64">
        <v>96</v>
      </c>
      <c r="AS54" s="116">
        <v>3.7</v>
      </c>
      <c r="AT54" s="116">
        <v>0.5</v>
      </c>
      <c r="AU54" s="116">
        <v>3.8</v>
      </c>
      <c r="AV54" s="116">
        <v>0.4</v>
      </c>
      <c r="AW54" s="64">
        <v>4</v>
      </c>
      <c r="AX54" s="71" t="s">
        <v>391</v>
      </c>
      <c r="AY54" s="71" t="s">
        <v>245</v>
      </c>
      <c r="BB54" s="71" t="s">
        <v>379</v>
      </c>
      <c r="BC54" s="115">
        <v>4.0999999999999996</v>
      </c>
      <c r="BD54" s="115">
        <v>0.5</v>
      </c>
      <c r="BE54" s="115"/>
      <c r="BF54" s="115">
        <v>3.7</v>
      </c>
      <c r="BG54" s="115">
        <v>0.3</v>
      </c>
      <c r="BH54" s="115"/>
      <c r="BP54" s="71" t="s">
        <v>240</v>
      </c>
      <c r="BR54" s="71" t="s">
        <v>262</v>
      </c>
      <c r="CG54" s="71" t="s">
        <v>237</v>
      </c>
      <c r="CH54" s="71" t="s">
        <v>239</v>
      </c>
      <c r="CJ54" s="71" t="s">
        <v>239</v>
      </c>
      <c r="CK54" s="71" t="s">
        <v>248</v>
      </c>
      <c r="CL54" s="64">
        <v>6</v>
      </c>
      <c r="CM54" s="64">
        <v>6</v>
      </c>
      <c r="CN54" s="71" t="s">
        <v>249</v>
      </c>
      <c r="CO54" s="71" t="s">
        <v>249</v>
      </c>
      <c r="CP54" s="71" t="s">
        <v>249</v>
      </c>
      <c r="CQ54" s="71" t="s">
        <v>388</v>
      </c>
      <c r="CR54" s="73" t="s">
        <v>389</v>
      </c>
      <c r="CU54" s="64">
        <v>40</v>
      </c>
      <c r="CW54" s="64">
        <v>41</v>
      </c>
      <c r="CY54" s="79">
        <f t="shared" si="15"/>
        <v>40.5</v>
      </c>
      <c r="CZ54" s="80" t="str">
        <f t="shared" si="35"/>
        <v/>
      </c>
      <c r="DB54" s="81" t="str">
        <f t="shared" si="17"/>
        <v/>
      </c>
      <c r="DD54" s="81" t="str">
        <f t="shared" si="18"/>
        <v/>
      </c>
      <c r="DE54" s="80" t="str">
        <f t="shared" si="36"/>
        <v/>
      </c>
      <c r="DG54" s="70">
        <f t="shared" si="20"/>
        <v>12</v>
      </c>
      <c r="DH54" s="71" t="s">
        <v>237</v>
      </c>
      <c r="DK54" s="71" t="s">
        <v>239</v>
      </c>
      <c r="DL54" s="73" t="s">
        <v>390</v>
      </c>
      <c r="DO54" s="71" t="s">
        <v>239</v>
      </c>
      <c r="DP54" s="71"/>
      <c r="DQ54" s="71"/>
      <c r="DR54" s="71"/>
      <c r="DS54" s="64">
        <f t="shared" si="37"/>
        <v>1.6</v>
      </c>
      <c r="DT54" s="65">
        <f t="shared" si="38"/>
        <v>0.54772255750516596</v>
      </c>
      <c r="JU54" s="71" t="s">
        <v>252</v>
      </c>
    </row>
    <row r="55" spans="1:281" s="97" customFormat="1" ht="20" customHeight="1" x14ac:dyDescent="0.2">
      <c r="A55" s="95"/>
      <c r="L55" s="148"/>
      <c r="P55" s="99"/>
      <c r="Q55" s="99"/>
      <c r="R55" s="99"/>
      <c r="S55" s="99"/>
      <c r="T55" s="99"/>
      <c r="U55" s="99"/>
    </row>
    <row r="56" spans="1:281" s="85" customFormat="1" ht="20" customHeight="1" x14ac:dyDescent="0.2">
      <c r="A56" s="83">
        <v>170</v>
      </c>
      <c r="B56" s="84" t="s">
        <v>700</v>
      </c>
      <c r="C56" s="84" t="s">
        <v>393</v>
      </c>
      <c r="D56" s="84" t="s">
        <v>231</v>
      </c>
      <c r="E56" s="85">
        <v>17</v>
      </c>
      <c r="F56" s="85" t="s">
        <v>237</v>
      </c>
      <c r="G56" s="84" t="s">
        <v>237</v>
      </c>
      <c r="H56" s="84">
        <v>34313578</v>
      </c>
      <c r="I56" s="84"/>
      <c r="J56" s="84" t="s">
        <v>394</v>
      </c>
      <c r="K56" s="85">
        <v>2022</v>
      </c>
      <c r="L56" s="119" t="s">
        <v>395</v>
      </c>
      <c r="N56" s="84" t="s">
        <v>234</v>
      </c>
      <c r="O56" s="84" t="s">
        <v>358</v>
      </c>
      <c r="P56" s="87" t="s">
        <v>822</v>
      </c>
      <c r="Q56" s="87"/>
      <c r="R56" s="87" t="s">
        <v>358</v>
      </c>
      <c r="S56" s="87"/>
      <c r="T56" s="87" t="s">
        <v>358</v>
      </c>
      <c r="U56" s="87"/>
      <c r="V56" s="84" t="s">
        <v>236</v>
      </c>
      <c r="W56" s="84" t="s">
        <v>237</v>
      </c>
      <c r="X56" s="84" t="s">
        <v>396</v>
      </c>
      <c r="Y56" s="84" t="s">
        <v>828</v>
      </c>
      <c r="Z56" s="84" t="s">
        <v>240</v>
      </c>
      <c r="AB56" s="84" t="s">
        <v>237</v>
      </c>
      <c r="AC56" s="84" t="s">
        <v>901</v>
      </c>
      <c r="AD56" s="84" t="s">
        <v>239</v>
      </c>
      <c r="AE56" s="84" t="s">
        <v>341</v>
      </c>
      <c r="AF56" s="84" t="s">
        <v>239</v>
      </c>
      <c r="AG56" s="84" t="s">
        <v>240</v>
      </c>
      <c r="AH56" s="84" t="s">
        <v>239</v>
      </c>
      <c r="AI56" s="85">
        <v>68</v>
      </c>
      <c r="AK56" s="84" t="s">
        <v>239</v>
      </c>
      <c r="AL56" s="85">
        <v>1600</v>
      </c>
      <c r="AM56" s="84" t="s">
        <v>241</v>
      </c>
      <c r="AN56" s="84">
        <v>2000</v>
      </c>
      <c r="AO56" s="84">
        <v>2</v>
      </c>
      <c r="AP56" s="84" t="s">
        <v>902</v>
      </c>
      <c r="AQ56" s="84" t="s">
        <v>903</v>
      </c>
      <c r="AR56" s="85">
        <v>32</v>
      </c>
      <c r="AS56" s="84"/>
      <c r="AT56" s="84"/>
      <c r="AU56" s="84"/>
      <c r="AV56" s="84"/>
      <c r="AX56" s="84" t="s">
        <v>244</v>
      </c>
      <c r="AY56" s="84" t="s">
        <v>277</v>
      </c>
      <c r="AZ56" s="84" t="s">
        <v>373</v>
      </c>
      <c r="BB56" s="84" t="s">
        <v>246</v>
      </c>
      <c r="BC56" s="141">
        <v>0.72599999999999998</v>
      </c>
      <c r="BD56" s="141">
        <v>0.187</v>
      </c>
      <c r="BE56" s="141"/>
      <c r="BF56" s="141">
        <v>0.75</v>
      </c>
      <c r="BG56" s="141">
        <v>0.125</v>
      </c>
      <c r="BH56" s="141"/>
      <c r="BI56" s="88">
        <v>0.44</v>
      </c>
      <c r="BJ56" s="85">
        <v>2</v>
      </c>
      <c r="BK56" s="89" t="str">
        <f t="shared" ref="BK56:BK59" si="39">IF(BC56&gt;BF56,"Case_greater_than_control","Control_greater_than_case")</f>
        <v>Control_greater_than_case</v>
      </c>
      <c r="BP56" s="84" t="s">
        <v>240</v>
      </c>
      <c r="BR56" s="84" t="s">
        <v>262</v>
      </c>
      <c r="CG56" s="84" t="s">
        <v>237</v>
      </c>
      <c r="CH56" s="84" t="s">
        <v>240</v>
      </c>
      <c r="CJ56" s="84" t="s">
        <v>239</v>
      </c>
      <c r="CK56" s="84" t="s">
        <v>248</v>
      </c>
      <c r="CL56" s="85">
        <v>36</v>
      </c>
      <c r="CM56" s="85">
        <v>22</v>
      </c>
      <c r="CN56" s="84" t="s">
        <v>249</v>
      </c>
      <c r="CO56" s="84" t="s">
        <v>249</v>
      </c>
      <c r="CP56" s="84" t="s">
        <v>249</v>
      </c>
      <c r="CQ56" s="84" t="s">
        <v>397</v>
      </c>
      <c r="CR56" s="84" t="s">
        <v>398</v>
      </c>
      <c r="CS56" s="104">
        <f>79.2/12</f>
        <v>6.6000000000000005</v>
      </c>
      <c r="CT56" s="104">
        <f>40.1/12</f>
        <v>3.3416666666666668</v>
      </c>
      <c r="CU56" s="104">
        <v>34.700000000000003</v>
      </c>
      <c r="CV56" s="104">
        <v>8.6999999999999993</v>
      </c>
      <c r="CW56" s="104">
        <v>32</v>
      </c>
      <c r="CX56" s="104">
        <v>9.4</v>
      </c>
      <c r="CY56" s="123">
        <f t="shared" si="15"/>
        <v>33.675862068965515</v>
      </c>
      <c r="CZ56" s="93">
        <f t="shared" ref="CZ56:CZ59" si="40">IF(OR(CY56="",CV56="",CX56=""),"",SQRT(((CL56-1)*(CV56^2) + (CM56-1)*(CX56^2) + CL56*(CU56-CY56)^2 + CM56*(CW56-CY56)^2) / (CL56+CM56-1)))</f>
        <v>8.9875705661983893</v>
      </c>
      <c r="DA56" s="84">
        <v>20</v>
      </c>
      <c r="DB56" s="94">
        <f t="shared" si="17"/>
        <v>55.555555555555557</v>
      </c>
      <c r="DC56" s="105">
        <v>15</v>
      </c>
      <c r="DD56" s="94">
        <f t="shared" si="18"/>
        <v>68.181818181818173</v>
      </c>
      <c r="DE56" s="93">
        <f t="shared" ref="DE56:DE59" si="41">IF(AND(DA56&lt;&gt;"",DC56&lt;&gt;""),(DA56+DC56)/(CL56+CM56)*100,
   IF(AND(DB56&lt;&gt;"",DD56&lt;&gt;""),(DB56*CL56 + DD56*CM56)/(CL56+CM56),
   ""))</f>
        <v>60.344827586206897</v>
      </c>
      <c r="DG56" s="90">
        <f t="shared" si="20"/>
        <v>58</v>
      </c>
      <c r="DH56" s="84" t="s">
        <v>237</v>
      </c>
      <c r="DI56" s="88">
        <f>(8/36)*100</f>
        <v>22.222222222222221</v>
      </c>
      <c r="DJ56" s="88">
        <f>(28/36)*100</f>
        <v>77.777777777777786</v>
      </c>
      <c r="DM56" s="84" t="s">
        <v>399</v>
      </c>
      <c r="DN56" s="84" t="s">
        <v>832</v>
      </c>
      <c r="DO56" s="84" t="s">
        <v>239</v>
      </c>
      <c r="DP56" s="84"/>
      <c r="DQ56" s="84"/>
      <c r="DR56" s="84"/>
      <c r="DS56" s="85">
        <v>3.3</v>
      </c>
      <c r="DT56" s="85">
        <v>1.2</v>
      </c>
      <c r="HA56" s="103">
        <v>52.8</v>
      </c>
      <c r="HB56" s="103">
        <v>7.8</v>
      </c>
      <c r="HC56" s="103">
        <v>41.1</v>
      </c>
      <c r="HD56" s="103">
        <v>9.6999999999999993</v>
      </c>
      <c r="JU56" s="84" t="s">
        <v>252</v>
      </c>
    </row>
    <row r="57" spans="1:281" s="8" customFormat="1" ht="20" customHeight="1" x14ac:dyDescent="0.2">
      <c r="A57" s="35">
        <v>170</v>
      </c>
      <c r="B57" s="7" t="s">
        <v>701</v>
      </c>
      <c r="C57" s="7" t="s">
        <v>393</v>
      </c>
      <c r="D57" s="7" t="s">
        <v>231</v>
      </c>
      <c r="E57" s="8">
        <v>17</v>
      </c>
      <c r="F57" s="8" t="s">
        <v>239</v>
      </c>
      <c r="G57" s="7" t="s">
        <v>237</v>
      </c>
      <c r="H57" s="7">
        <v>34313578</v>
      </c>
      <c r="I57" s="7"/>
      <c r="J57" s="7" t="s">
        <v>394</v>
      </c>
      <c r="K57" s="8">
        <v>2022</v>
      </c>
      <c r="L57" s="12" t="s">
        <v>395</v>
      </c>
      <c r="N57" s="7" t="s">
        <v>234</v>
      </c>
      <c r="O57" s="7" t="s">
        <v>358</v>
      </c>
      <c r="P57" s="36" t="s">
        <v>822</v>
      </c>
      <c r="Q57" s="36"/>
      <c r="R57" s="36" t="s">
        <v>358</v>
      </c>
      <c r="S57" s="36"/>
      <c r="T57" s="36" t="s">
        <v>358</v>
      </c>
      <c r="U57" s="36"/>
      <c r="V57" s="7" t="s">
        <v>236</v>
      </c>
      <c r="W57" s="7" t="s">
        <v>237</v>
      </c>
      <c r="X57" s="7" t="s">
        <v>396</v>
      </c>
      <c r="Y57" s="7" t="s">
        <v>828</v>
      </c>
      <c r="Z57" s="7" t="s">
        <v>240</v>
      </c>
      <c r="AB57" s="7" t="s">
        <v>237</v>
      </c>
      <c r="AC57" s="7" t="s">
        <v>901</v>
      </c>
      <c r="AD57" s="7" t="s">
        <v>239</v>
      </c>
      <c r="AE57" s="7" t="s">
        <v>341</v>
      </c>
      <c r="AF57" s="7" t="s">
        <v>239</v>
      </c>
      <c r="AG57" s="7" t="s">
        <v>240</v>
      </c>
      <c r="AH57" s="7" t="s">
        <v>239</v>
      </c>
      <c r="AI57" s="8">
        <v>68</v>
      </c>
      <c r="AK57" s="7" t="s">
        <v>239</v>
      </c>
      <c r="AL57" s="8">
        <v>1600</v>
      </c>
      <c r="AM57" s="7" t="s">
        <v>241</v>
      </c>
      <c r="AN57" s="7">
        <v>2000</v>
      </c>
      <c r="AO57" s="7">
        <v>2</v>
      </c>
      <c r="AP57" s="7" t="s">
        <v>902</v>
      </c>
      <c r="AQ57" s="7" t="s">
        <v>903</v>
      </c>
      <c r="AR57" s="8">
        <v>32</v>
      </c>
      <c r="AS57" s="7"/>
      <c r="AT57" s="7"/>
      <c r="AU57" s="7"/>
      <c r="AV57" s="7"/>
      <c r="AX57" s="7" t="s">
        <v>244</v>
      </c>
      <c r="AY57" s="7" t="s">
        <v>277</v>
      </c>
      <c r="AZ57" s="7" t="s">
        <v>370</v>
      </c>
      <c r="BB57" s="7" t="s">
        <v>246</v>
      </c>
      <c r="BC57" s="10">
        <v>1.23</v>
      </c>
      <c r="BD57" s="10">
        <v>0.28599999999999998</v>
      </c>
      <c r="BE57" s="10"/>
      <c r="BF57" s="10">
        <v>1.2889999999999999</v>
      </c>
      <c r="BG57" s="10">
        <v>0.22500000000000001</v>
      </c>
      <c r="BH57" s="10"/>
      <c r="BI57" s="11">
        <v>0.22</v>
      </c>
      <c r="BJ57" s="8">
        <v>2</v>
      </c>
      <c r="BK57" s="5" t="str">
        <f t="shared" si="39"/>
        <v>Control_greater_than_case</v>
      </c>
      <c r="BP57" s="7" t="s">
        <v>240</v>
      </c>
      <c r="BR57" s="7" t="s">
        <v>262</v>
      </c>
      <c r="CG57" s="7" t="s">
        <v>237</v>
      </c>
      <c r="CH57" s="7" t="s">
        <v>240</v>
      </c>
      <c r="CJ57" s="7" t="s">
        <v>239</v>
      </c>
      <c r="CK57" s="7" t="s">
        <v>248</v>
      </c>
      <c r="CL57" s="8">
        <v>36</v>
      </c>
      <c r="CM57" s="8">
        <v>22</v>
      </c>
      <c r="CN57" s="7" t="s">
        <v>249</v>
      </c>
      <c r="CO57" s="7" t="s">
        <v>249</v>
      </c>
      <c r="CP57" s="7" t="s">
        <v>249</v>
      </c>
      <c r="CQ57" s="7" t="s">
        <v>397</v>
      </c>
      <c r="CR57" s="7" t="s">
        <v>398</v>
      </c>
      <c r="CS57" s="42">
        <f t="shared" ref="CS57:CS59" si="42">79.2/12</f>
        <v>6.6000000000000005</v>
      </c>
      <c r="CT57" s="42">
        <f t="shared" ref="CT57:CT59" si="43">40.1/12</f>
        <v>3.3416666666666668</v>
      </c>
      <c r="CU57" s="42">
        <v>34.700000000000003</v>
      </c>
      <c r="CV57" s="42">
        <v>8.6999999999999993</v>
      </c>
      <c r="CW57" s="42">
        <v>32</v>
      </c>
      <c r="CX57" s="42">
        <v>9.4</v>
      </c>
      <c r="CY57" s="27">
        <f t="shared" si="15"/>
        <v>33.675862068965515</v>
      </c>
      <c r="CZ57" s="28">
        <f t="shared" si="40"/>
        <v>8.9875705661983893</v>
      </c>
      <c r="DA57" s="7">
        <v>20</v>
      </c>
      <c r="DB57" s="29">
        <f t="shared" si="17"/>
        <v>55.555555555555557</v>
      </c>
      <c r="DC57" s="43">
        <v>15</v>
      </c>
      <c r="DD57" s="29">
        <f t="shared" si="18"/>
        <v>68.181818181818173</v>
      </c>
      <c r="DE57" s="28">
        <f t="shared" si="41"/>
        <v>60.344827586206897</v>
      </c>
      <c r="DG57" s="6">
        <f t="shared" si="20"/>
        <v>58</v>
      </c>
      <c r="DH57" s="7" t="s">
        <v>237</v>
      </c>
      <c r="DI57" s="11">
        <f>(8/36)*100</f>
        <v>22.222222222222221</v>
      </c>
      <c r="DJ57" s="11">
        <f>(28/36)*100</f>
        <v>77.777777777777786</v>
      </c>
      <c r="DM57" s="7" t="s">
        <v>399</v>
      </c>
      <c r="DN57" s="7" t="s">
        <v>832</v>
      </c>
      <c r="DO57" s="7" t="s">
        <v>239</v>
      </c>
      <c r="DP57" s="7"/>
      <c r="DQ57" s="7"/>
      <c r="DR57" s="7"/>
      <c r="DS57" s="8">
        <v>3.3</v>
      </c>
      <c r="DT57" s="8">
        <v>1.2</v>
      </c>
      <c r="HA57" s="41">
        <v>52.8</v>
      </c>
      <c r="HB57" s="41">
        <v>7.8</v>
      </c>
      <c r="HC57" s="41">
        <v>41.1</v>
      </c>
      <c r="HD57" s="41">
        <v>9.6999999999999993</v>
      </c>
      <c r="JU57" s="7" t="s">
        <v>252</v>
      </c>
    </row>
    <row r="58" spans="1:281" s="8" customFormat="1" ht="20" customHeight="1" x14ac:dyDescent="0.2">
      <c r="A58" s="35">
        <v>170</v>
      </c>
      <c r="B58" s="7" t="s">
        <v>702</v>
      </c>
      <c r="C58" s="7" t="s">
        <v>393</v>
      </c>
      <c r="D58" s="7" t="s">
        <v>231</v>
      </c>
      <c r="E58" s="8">
        <v>17</v>
      </c>
      <c r="F58" s="8" t="s">
        <v>237</v>
      </c>
      <c r="G58" s="7" t="s">
        <v>237</v>
      </c>
      <c r="H58" s="7">
        <v>34313578</v>
      </c>
      <c r="I58" s="7"/>
      <c r="J58" s="7" t="s">
        <v>394</v>
      </c>
      <c r="K58" s="8">
        <v>2022</v>
      </c>
      <c r="L58" s="12" t="s">
        <v>395</v>
      </c>
      <c r="N58" s="7" t="s">
        <v>234</v>
      </c>
      <c r="O58" s="7" t="s">
        <v>298</v>
      </c>
      <c r="P58" s="37" t="s">
        <v>819</v>
      </c>
      <c r="Q58" s="37" t="s">
        <v>1008</v>
      </c>
      <c r="R58" s="37"/>
      <c r="S58" s="37"/>
      <c r="T58" s="37"/>
      <c r="U58" s="37" t="s">
        <v>298</v>
      </c>
      <c r="V58" s="7" t="s">
        <v>236</v>
      </c>
      <c r="W58" s="7" t="s">
        <v>237</v>
      </c>
      <c r="X58" s="7" t="s">
        <v>396</v>
      </c>
      <c r="Y58" s="7" t="s">
        <v>828</v>
      </c>
      <c r="Z58" s="7" t="s">
        <v>240</v>
      </c>
      <c r="AB58" s="7" t="s">
        <v>237</v>
      </c>
      <c r="AC58" s="7" t="s">
        <v>901</v>
      </c>
      <c r="AD58" s="7" t="s">
        <v>239</v>
      </c>
      <c r="AE58" s="7" t="s">
        <v>341</v>
      </c>
      <c r="AF58" s="7" t="s">
        <v>239</v>
      </c>
      <c r="AG58" s="7" t="s">
        <v>240</v>
      </c>
      <c r="AH58" s="7" t="s">
        <v>239</v>
      </c>
      <c r="AI58" s="8">
        <v>68</v>
      </c>
      <c r="AK58" s="7" t="s">
        <v>239</v>
      </c>
      <c r="AL58" s="8">
        <v>1600</v>
      </c>
      <c r="AM58" s="7" t="s">
        <v>241</v>
      </c>
      <c r="AN58" s="7">
        <v>2000</v>
      </c>
      <c r="AO58" s="7">
        <v>2</v>
      </c>
      <c r="AP58" s="7" t="s">
        <v>902</v>
      </c>
      <c r="AQ58" s="7" t="s">
        <v>903</v>
      </c>
      <c r="AR58" s="8">
        <v>32</v>
      </c>
      <c r="AS58" s="7"/>
      <c r="AT58" s="7"/>
      <c r="AU58" s="7"/>
      <c r="AV58" s="7"/>
      <c r="AX58" s="7" t="s">
        <v>244</v>
      </c>
      <c r="AY58" s="7" t="s">
        <v>277</v>
      </c>
      <c r="AZ58" s="7" t="s">
        <v>373</v>
      </c>
      <c r="BB58" s="7" t="s">
        <v>246</v>
      </c>
      <c r="BC58" s="10">
        <v>0.84699999999999998</v>
      </c>
      <c r="BD58" s="10">
        <v>0.33500000000000002</v>
      </c>
      <c r="BE58" s="10"/>
      <c r="BF58" s="10">
        <v>0.8</v>
      </c>
      <c r="BG58" s="10">
        <v>0.185</v>
      </c>
      <c r="BH58" s="10"/>
      <c r="BI58" s="11">
        <v>0.92</v>
      </c>
      <c r="BJ58" s="8">
        <v>2</v>
      </c>
      <c r="BK58" s="5" t="str">
        <f t="shared" si="39"/>
        <v>Case_greater_than_control</v>
      </c>
      <c r="BP58" s="7" t="s">
        <v>240</v>
      </c>
      <c r="BR58" s="7" t="s">
        <v>262</v>
      </c>
      <c r="CG58" s="7" t="s">
        <v>237</v>
      </c>
      <c r="CH58" s="7" t="s">
        <v>240</v>
      </c>
      <c r="CJ58" s="7" t="s">
        <v>239</v>
      </c>
      <c r="CK58" s="7" t="s">
        <v>248</v>
      </c>
      <c r="CL58" s="8">
        <v>36</v>
      </c>
      <c r="CM58" s="8">
        <v>22</v>
      </c>
      <c r="CN58" s="7" t="s">
        <v>249</v>
      </c>
      <c r="CO58" s="7" t="s">
        <v>249</v>
      </c>
      <c r="CP58" s="7" t="s">
        <v>249</v>
      </c>
      <c r="CQ58" s="7" t="s">
        <v>397</v>
      </c>
      <c r="CR58" s="7" t="s">
        <v>398</v>
      </c>
      <c r="CS58" s="42">
        <f>79.2/12</f>
        <v>6.6000000000000005</v>
      </c>
      <c r="CT58" s="42">
        <f>40.1/12</f>
        <v>3.3416666666666668</v>
      </c>
      <c r="CU58" s="42">
        <v>34.700000000000003</v>
      </c>
      <c r="CV58" s="42">
        <v>8.6999999999999993</v>
      </c>
      <c r="CW58" s="42">
        <v>32</v>
      </c>
      <c r="CX58" s="42">
        <v>9.4</v>
      </c>
      <c r="CY58" s="27">
        <f t="shared" ref="CY58:CY59" si="44">IF(OR(CU58="",CW58="",CL58="",CM58="",CL58+CM58=0),"",(CU58*CL58+CW58*CM58)/(CL58+CM58))</f>
        <v>33.675862068965515</v>
      </c>
      <c r="CZ58" s="28">
        <f t="shared" si="40"/>
        <v>8.9875705661983893</v>
      </c>
      <c r="DA58" s="7">
        <v>20</v>
      </c>
      <c r="DB58" s="29">
        <f t="shared" ref="DB58:DB59" si="45">IF(DA58="","",(DA58/CL58)*100)</f>
        <v>55.555555555555557</v>
      </c>
      <c r="DC58" s="43">
        <v>15</v>
      </c>
      <c r="DD58" s="29">
        <f t="shared" ref="DD58:DD59" si="46">IF(DC58="","",(DC58/CM58)*100)</f>
        <v>68.181818181818173</v>
      </c>
      <c r="DE58" s="28">
        <f t="shared" si="41"/>
        <v>60.344827586206897</v>
      </c>
      <c r="DG58" s="6">
        <f t="shared" ref="DG58:DG59" si="47">SUM(CL58,CM58)</f>
        <v>58</v>
      </c>
      <c r="DH58" s="7" t="s">
        <v>237</v>
      </c>
      <c r="DI58" s="11">
        <f t="shared" ref="DI58:DI59" si="48">(8/36)*100</f>
        <v>22.222222222222221</v>
      </c>
      <c r="DJ58" s="11">
        <f t="shared" ref="DJ58" si="49">(28/36)*100</f>
        <v>77.777777777777786</v>
      </c>
      <c r="DM58" s="7" t="s">
        <v>399</v>
      </c>
      <c r="DN58" s="7" t="s">
        <v>832</v>
      </c>
      <c r="DO58" s="7" t="s">
        <v>239</v>
      </c>
      <c r="DP58" s="7"/>
      <c r="DQ58" s="7"/>
      <c r="DR58" s="7"/>
      <c r="DS58" s="8">
        <v>3.3</v>
      </c>
      <c r="DT58" s="8">
        <v>1.2</v>
      </c>
      <c r="HA58" s="41">
        <v>52.8</v>
      </c>
      <c r="HB58" s="41">
        <v>7.8</v>
      </c>
      <c r="HC58" s="41">
        <v>41.1</v>
      </c>
      <c r="HD58" s="41">
        <v>9.6999999999999993</v>
      </c>
      <c r="JU58" s="7" t="s">
        <v>252</v>
      </c>
    </row>
    <row r="59" spans="1:281" s="64" customFormat="1" ht="20" customHeight="1" x14ac:dyDescent="0.2">
      <c r="A59" s="106">
        <v>170</v>
      </c>
      <c r="B59" s="71" t="s">
        <v>703</v>
      </c>
      <c r="C59" s="71" t="s">
        <v>393</v>
      </c>
      <c r="D59" s="71" t="s">
        <v>231</v>
      </c>
      <c r="E59" s="64">
        <v>17</v>
      </c>
      <c r="F59" s="64" t="s">
        <v>239</v>
      </c>
      <c r="G59" s="71" t="s">
        <v>237</v>
      </c>
      <c r="H59" s="71">
        <v>34313578</v>
      </c>
      <c r="I59" s="71"/>
      <c r="J59" s="71" t="s">
        <v>394</v>
      </c>
      <c r="K59" s="64">
        <v>2022</v>
      </c>
      <c r="L59" s="124" t="s">
        <v>395</v>
      </c>
      <c r="N59" s="71" t="s">
        <v>234</v>
      </c>
      <c r="O59" s="71" t="s">
        <v>298</v>
      </c>
      <c r="P59" s="112" t="s">
        <v>819</v>
      </c>
      <c r="Q59" s="112" t="s">
        <v>1008</v>
      </c>
      <c r="R59" s="112"/>
      <c r="S59" s="112"/>
      <c r="T59" s="112"/>
      <c r="U59" s="112" t="s">
        <v>298</v>
      </c>
      <c r="V59" s="71" t="s">
        <v>236</v>
      </c>
      <c r="W59" s="71" t="s">
        <v>237</v>
      </c>
      <c r="X59" s="71" t="s">
        <v>396</v>
      </c>
      <c r="Y59" s="71" t="s">
        <v>828</v>
      </c>
      <c r="Z59" s="71" t="s">
        <v>240</v>
      </c>
      <c r="AB59" s="71" t="s">
        <v>237</v>
      </c>
      <c r="AC59" s="71" t="s">
        <v>901</v>
      </c>
      <c r="AD59" s="71" t="s">
        <v>239</v>
      </c>
      <c r="AE59" s="71" t="s">
        <v>341</v>
      </c>
      <c r="AF59" s="71" t="s">
        <v>239</v>
      </c>
      <c r="AG59" s="71" t="s">
        <v>240</v>
      </c>
      <c r="AH59" s="71" t="s">
        <v>239</v>
      </c>
      <c r="AI59" s="64">
        <v>68</v>
      </c>
      <c r="AK59" s="71" t="s">
        <v>239</v>
      </c>
      <c r="AL59" s="64">
        <v>1600</v>
      </c>
      <c r="AM59" s="71" t="s">
        <v>241</v>
      </c>
      <c r="AN59" s="71">
        <v>2000</v>
      </c>
      <c r="AO59" s="71">
        <v>2</v>
      </c>
      <c r="AP59" s="71" t="s">
        <v>902</v>
      </c>
      <c r="AQ59" s="71" t="s">
        <v>903</v>
      </c>
      <c r="AR59" s="64">
        <v>32</v>
      </c>
      <c r="AS59" s="71"/>
      <c r="AT59" s="71"/>
      <c r="AU59" s="71"/>
      <c r="AV59" s="71"/>
      <c r="AX59" s="71" t="s">
        <v>244</v>
      </c>
      <c r="AY59" s="71" t="s">
        <v>277</v>
      </c>
      <c r="AZ59" s="71" t="s">
        <v>370</v>
      </c>
      <c r="BB59" s="71" t="s">
        <v>246</v>
      </c>
      <c r="BC59" s="114">
        <v>1.363</v>
      </c>
      <c r="BD59" s="114">
        <v>0.47499999999999998</v>
      </c>
      <c r="BE59" s="114"/>
      <c r="BF59" s="114">
        <v>1.29</v>
      </c>
      <c r="BG59" s="114">
        <v>0.25800000000000001</v>
      </c>
      <c r="BH59" s="114"/>
      <c r="BI59" s="65">
        <v>0.61</v>
      </c>
      <c r="BJ59" s="64">
        <v>2</v>
      </c>
      <c r="BK59" s="73" t="str">
        <f t="shared" si="39"/>
        <v>Case_greater_than_control</v>
      </c>
      <c r="BP59" s="71" t="s">
        <v>240</v>
      </c>
      <c r="BR59" s="71" t="s">
        <v>262</v>
      </c>
      <c r="CG59" s="71" t="s">
        <v>237</v>
      </c>
      <c r="CH59" s="71" t="s">
        <v>240</v>
      </c>
      <c r="CJ59" s="71" t="s">
        <v>239</v>
      </c>
      <c r="CK59" s="71" t="s">
        <v>248</v>
      </c>
      <c r="CL59" s="64">
        <v>36</v>
      </c>
      <c r="CM59" s="64">
        <v>22</v>
      </c>
      <c r="CN59" s="71" t="s">
        <v>249</v>
      </c>
      <c r="CO59" s="71" t="s">
        <v>249</v>
      </c>
      <c r="CP59" s="71" t="s">
        <v>249</v>
      </c>
      <c r="CQ59" s="71" t="s">
        <v>397</v>
      </c>
      <c r="CR59" s="71" t="s">
        <v>398</v>
      </c>
      <c r="CS59" s="116">
        <f t="shared" si="42"/>
        <v>6.6000000000000005</v>
      </c>
      <c r="CT59" s="116">
        <f t="shared" si="43"/>
        <v>3.3416666666666668</v>
      </c>
      <c r="CU59" s="116">
        <v>34.700000000000003</v>
      </c>
      <c r="CV59" s="116">
        <v>8.6999999999999993</v>
      </c>
      <c r="CW59" s="116">
        <v>32</v>
      </c>
      <c r="CX59" s="116">
        <v>9.4</v>
      </c>
      <c r="CY59" s="79">
        <f t="shared" si="44"/>
        <v>33.675862068965515</v>
      </c>
      <c r="CZ59" s="80">
        <f t="shared" si="40"/>
        <v>8.9875705661983893</v>
      </c>
      <c r="DA59" s="71">
        <v>20</v>
      </c>
      <c r="DB59" s="81">
        <f t="shared" si="45"/>
        <v>55.555555555555557</v>
      </c>
      <c r="DC59" s="117">
        <v>15</v>
      </c>
      <c r="DD59" s="81">
        <f t="shared" si="46"/>
        <v>68.181818181818173</v>
      </c>
      <c r="DE59" s="80">
        <f t="shared" si="41"/>
        <v>60.344827586206897</v>
      </c>
      <c r="DG59" s="70">
        <f t="shared" si="47"/>
        <v>58</v>
      </c>
      <c r="DH59" s="71" t="s">
        <v>237</v>
      </c>
      <c r="DI59" s="65">
        <f t="shared" si="48"/>
        <v>22.222222222222221</v>
      </c>
      <c r="DJ59" s="65">
        <f>(28/36)*100</f>
        <v>77.777777777777786</v>
      </c>
      <c r="DM59" s="71" t="s">
        <v>399</v>
      </c>
      <c r="DN59" s="71" t="s">
        <v>832</v>
      </c>
      <c r="DO59" s="71" t="s">
        <v>239</v>
      </c>
      <c r="DP59" s="71"/>
      <c r="DQ59" s="71"/>
      <c r="DR59" s="71"/>
      <c r="DS59" s="64">
        <v>3.3</v>
      </c>
      <c r="DT59" s="64">
        <v>1.2</v>
      </c>
      <c r="HA59" s="115">
        <v>52.8</v>
      </c>
      <c r="HB59" s="115">
        <v>7.8</v>
      </c>
      <c r="HC59" s="115">
        <v>41.1</v>
      </c>
      <c r="HD59" s="115">
        <v>9.6999999999999993</v>
      </c>
      <c r="JU59" s="71" t="s">
        <v>252</v>
      </c>
    </row>
    <row r="60" spans="1:281" s="97" customFormat="1" ht="20" customHeight="1" x14ac:dyDescent="0.2">
      <c r="A60" s="95"/>
      <c r="L60" s="148"/>
      <c r="P60" s="99"/>
      <c r="Q60" s="99"/>
      <c r="R60" s="99"/>
      <c r="S60" s="99"/>
      <c r="T60" s="99"/>
      <c r="U60" s="99"/>
    </row>
    <row r="61" spans="1:281" s="85" customFormat="1" ht="20" customHeight="1" x14ac:dyDescent="0.2">
      <c r="A61" s="83">
        <v>173</v>
      </c>
      <c r="B61" s="120" t="s">
        <v>704</v>
      </c>
      <c r="C61" s="84" t="s">
        <v>401</v>
      </c>
      <c r="D61" s="84" t="s">
        <v>231</v>
      </c>
      <c r="E61" s="85">
        <v>18</v>
      </c>
      <c r="F61" s="85" t="s">
        <v>239</v>
      </c>
      <c r="G61" s="84" t="s">
        <v>237</v>
      </c>
      <c r="H61" s="84">
        <v>28191860</v>
      </c>
      <c r="I61" s="84"/>
      <c r="J61" s="84" t="s">
        <v>394</v>
      </c>
      <c r="K61" s="85">
        <v>2017</v>
      </c>
      <c r="L61" s="119" t="s">
        <v>402</v>
      </c>
      <c r="N61" s="84" t="s">
        <v>234</v>
      </c>
      <c r="O61" s="84" t="s">
        <v>403</v>
      </c>
      <c r="P61" s="87" t="s">
        <v>822</v>
      </c>
      <c r="Q61" s="87"/>
      <c r="R61" s="87" t="s">
        <v>403</v>
      </c>
      <c r="S61" s="87"/>
      <c r="T61" s="87"/>
      <c r="U61" s="87"/>
      <c r="V61" s="84" t="s">
        <v>312</v>
      </c>
      <c r="W61" s="84" t="s">
        <v>237</v>
      </c>
      <c r="X61" s="84" t="s">
        <v>284</v>
      </c>
      <c r="Y61" s="84" t="s">
        <v>828</v>
      </c>
      <c r="Z61" s="84" t="s">
        <v>240</v>
      </c>
      <c r="AB61" s="84" t="s">
        <v>237</v>
      </c>
      <c r="AC61" s="84" t="s">
        <v>904</v>
      </c>
      <c r="AD61" s="84" t="s">
        <v>239</v>
      </c>
      <c r="AE61" s="84" t="s">
        <v>341</v>
      </c>
      <c r="AF61" s="84" t="s">
        <v>239</v>
      </c>
      <c r="AG61" s="84" t="s">
        <v>240</v>
      </c>
      <c r="AH61" s="84" t="s">
        <v>239</v>
      </c>
      <c r="AI61" s="85">
        <v>30</v>
      </c>
      <c r="AK61" s="84" t="s">
        <v>239</v>
      </c>
      <c r="AL61" s="85">
        <v>1500</v>
      </c>
      <c r="AM61" s="84" t="s">
        <v>241</v>
      </c>
      <c r="AN61" s="84" t="s">
        <v>404</v>
      </c>
      <c r="AO61" s="84"/>
      <c r="AP61" s="84"/>
      <c r="AQ61" s="84" t="s">
        <v>905</v>
      </c>
      <c r="AS61" s="84"/>
      <c r="AT61" s="84"/>
      <c r="AU61" s="84"/>
      <c r="AV61" s="84"/>
      <c r="AX61" s="84" t="s">
        <v>244</v>
      </c>
      <c r="AY61" s="84" t="s">
        <v>277</v>
      </c>
      <c r="AZ61" s="84" t="s">
        <v>296</v>
      </c>
      <c r="BB61" s="84" t="s">
        <v>246</v>
      </c>
      <c r="BC61" s="88">
        <v>2.2599999999999998</v>
      </c>
      <c r="BD61" s="103">
        <v>0.8</v>
      </c>
      <c r="BE61" s="103"/>
      <c r="BF61" s="88">
        <v>2.23</v>
      </c>
      <c r="BG61" s="88">
        <v>0.75</v>
      </c>
      <c r="BH61" s="88"/>
      <c r="BI61" s="84" t="s">
        <v>297</v>
      </c>
      <c r="BJ61" s="85">
        <v>2</v>
      </c>
      <c r="BK61" s="89" t="str">
        <f t="shared" ref="BK61:BK62" si="50">IF(BC61&gt;BF61,"Case_greater_than_control","Control_greater_than_case")</f>
        <v>Case_greater_than_control</v>
      </c>
      <c r="BP61" s="84" t="s">
        <v>240</v>
      </c>
      <c r="BR61" s="84" t="s">
        <v>262</v>
      </c>
      <c r="CG61" s="84" t="s">
        <v>237</v>
      </c>
      <c r="CH61" s="84" t="s">
        <v>240</v>
      </c>
      <c r="CJ61" s="84" t="s">
        <v>239</v>
      </c>
      <c r="CK61" s="84" t="s">
        <v>248</v>
      </c>
      <c r="CL61" s="85">
        <v>33</v>
      </c>
      <c r="CM61" s="85">
        <v>24</v>
      </c>
      <c r="CN61" s="84" t="s">
        <v>405</v>
      </c>
      <c r="CO61" s="84" t="s">
        <v>825</v>
      </c>
      <c r="CP61" s="84"/>
      <c r="CQ61" s="89" t="s">
        <v>406</v>
      </c>
      <c r="CS61" s="104">
        <v>9.1</v>
      </c>
      <c r="CT61" s="91">
        <v>6.15</v>
      </c>
      <c r="CU61" s="104">
        <v>36.200000000000003</v>
      </c>
      <c r="CV61" s="104">
        <v>11.3</v>
      </c>
      <c r="CW61" s="104">
        <v>35.1</v>
      </c>
      <c r="CX61" s="104">
        <v>11.7</v>
      </c>
      <c r="CY61" s="123">
        <f t="shared" ref="CY61:CY62" si="51">IF(OR(CU61="",CW61="",CL61="",CM61="",CL61+CM61=0),"",(CU61*CL61+CW61*CM61)/(CL61+CM61))</f>
        <v>35.736842105263165</v>
      </c>
      <c r="CZ61" s="93">
        <f t="shared" ref="CZ61:CZ62" si="52">IF(OR(CY61="",CV61="",CX61=""),"",SQRT(((CL61-1)*(CV61^2) + (CM61-1)*(CX61^2) + CL61*(CU61-CY61)^2 + CM61*(CW61-CY61)^2) / (CL61+CM61-1)))</f>
        <v>11.379306587883669</v>
      </c>
      <c r="DA61" s="85">
        <v>23</v>
      </c>
      <c r="DB61" s="94">
        <f t="shared" ref="DB61:DB62" si="53">IF(DA61="","",(DA61/CL61)*100)</f>
        <v>69.696969696969703</v>
      </c>
      <c r="DC61" s="105">
        <v>14</v>
      </c>
      <c r="DD61" s="94">
        <f t="shared" ref="DD61:DD62" si="54">IF(DC61="","",(DC61/CM61)*100)</f>
        <v>58.333333333333336</v>
      </c>
      <c r="DE61" s="93">
        <f t="shared" ref="DE61:DE62" si="55">IF(AND(DA61&lt;&gt;"",DC61&lt;&gt;""),(DA61+DC61)/(CL61+CM61)*100,
   IF(AND(DB61&lt;&gt;"",DD61&lt;&gt;""),(DB61*CL61 + DD61*CM61)/(CL61+CM61),
   ""))</f>
        <v>64.912280701754383</v>
      </c>
      <c r="DG61" s="90">
        <f t="shared" ref="DG61:DG62" si="56">SUM(CL61,CM61)</f>
        <v>57</v>
      </c>
      <c r="DH61" s="84" t="s">
        <v>237</v>
      </c>
      <c r="DI61" s="85">
        <v>0</v>
      </c>
      <c r="DJ61" s="85">
        <v>100</v>
      </c>
      <c r="DM61" s="84" t="s">
        <v>400</v>
      </c>
      <c r="DN61" s="84" t="s">
        <v>832</v>
      </c>
      <c r="DO61" s="84" t="s">
        <v>239</v>
      </c>
      <c r="DP61" s="84"/>
      <c r="DQ61" s="84"/>
      <c r="DR61" s="84"/>
      <c r="DS61" s="103">
        <v>3.5</v>
      </c>
      <c r="DT61" s="103">
        <v>2.1</v>
      </c>
      <c r="JA61" s="103">
        <v>7.7</v>
      </c>
      <c r="JB61" s="103">
        <v>1.3</v>
      </c>
      <c r="JC61" s="103">
        <v>5.7</v>
      </c>
      <c r="JD61" s="103">
        <v>1.8</v>
      </c>
      <c r="JQ61" s="103">
        <v>4.3</v>
      </c>
      <c r="JR61" s="103">
        <v>1.1000000000000001</v>
      </c>
      <c r="JS61" s="103">
        <v>6.2</v>
      </c>
      <c r="JT61" s="103">
        <v>2.2999999999999998</v>
      </c>
      <c r="JU61" s="84" t="s">
        <v>252</v>
      </c>
    </row>
    <row r="62" spans="1:281" s="64" customFormat="1" ht="20" customHeight="1" x14ac:dyDescent="0.2">
      <c r="A62" s="106">
        <v>173</v>
      </c>
      <c r="B62" s="113" t="s">
        <v>705</v>
      </c>
      <c r="C62" s="71" t="s">
        <v>401</v>
      </c>
      <c r="D62" s="71" t="s">
        <v>231</v>
      </c>
      <c r="E62" s="64">
        <v>18</v>
      </c>
      <c r="F62" s="64" t="s">
        <v>237</v>
      </c>
      <c r="G62" s="71" t="s">
        <v>237</v>
      </c>
      <c r="H62" s="71">
        <v>28191860</v>
      </c>
      <c r="I62" s="71"/>
      <c r="J62" s="71" t="s">
        <v>394</v>
      </c>
      <c r="K62" s="64">
        <v>2017</v>
      </c>
      <c r="L62" s="124" t="s">
        <v>402</v>
      </c>
      <c r="N62" s="71" t="s">
        <v>234</v>
      </c>
      <c r="O62" s="71" t="s">
        <v>403</v>
      </c>
      <c r="P62" s="108" t="s">
        <v>822</v>
      </c>
      <c r="Q62" s="108"/>
      <c r="R62" s="108" t="s">
        <v>403</v>
      </c>
      <c r="S62" s="108"/>
      <c r="T62" s="108"/>
      <c r="U62" s="108"/>
      <c r="V62" s="71" t="s">
        <v>312</v>
      </c>
      <c r="W62" s="71" t="s">
        <v>237</v>
      </c>
      <c r="X62" s="71" t="s">
        <v>284</v>
      </c>
      <c r="Y62" s="71" t="s">
        <v>828</v>
      </c>
      <c r="Z62" s="71" t="s">
        <v>240</v>
      </c>
      <c r="AB62" s="71" t="s">
        <v>237</v>
      </c>
      <c r="AC62" s="71" t="s">
        <v>904</v>
      </c>
      <c r="AD62" s="71" t="s">
        <v>239</v>
      </c>
      <c r="AE62" s="71" t="s">
        <v>341</v>
      </c>
      <c r="AF62" s="71" t="s">
        <v>239</v>
      </c>
      <c r="AG62" s="71" t="s">
        <v>240</v>
      </c>
      <c r="AH62" s="71" t="s">
        <v>239</v>
      </c>
      <c r="AI62" s="64">
        <v>30</v>
      </c>
      <c r="AK62" s="71" t="s">
        <v>239</v>
      </c>
      <c r="AL62" s="64">
        <v>1500</v>
      </c>
      <c r="AM62" s="71" t="s">
        <v>241</v>
      </c>
      <c r="AN62" s="71" t="s">
        <v>404</v>
      </c>
      <c r="AO62" s="71"/>
      <c r="AP62" s="71"/>
      <c r="AQ62" s="71" t="s">
        <v>905</v>
      </c>
      <c r="AS62" s="71"/>
      <c r="AT62" s="71"/>
      <c r="AU62" s="71"/>
      <c r="AV62" s="71"/>
      <c r="AX62" s="71" t="s">
        <v>244</v>
      </c>
      <c r="AY62" s="71" t="s">
        <v>277</v>
      </c>
      <c r="AZ62" s="71" t="s">
        <v>407</v>
      </c>
      <c r="BB62" s="71" t="s">
        <v>246</v>
      </c>
      <c r="BC62" s="115">
        <v>1.8</v>
      </c>
      <c r="BD62" s="65">
        <v>0.56000000000000005</v>
      </c>
      <c r="BE62" s="65"/>
      <c r="BF62" s="65">
        <v>1.46</v>
      </c>
      <c r="BG62" s="65">
        <v>0.42</v>
      </c>
      <c r="BH62" s="65"/>
      <c r="BI62" s="64">
        <v>1.4E-2</v>
      </c>
      <c r="BJ62" s="64">
        <v>2</v>
      </c>
      <c r="BK62" s="73" t="str">
        <f t="shared" si="50"/>
        <v>Case_greater_than_control</v>
      </c>
      <c r="BP62" s="71" t="s">
        <v>240</v>
      </c>
      <c r="BR62" s="71" t="s">
        <v>262</v>
      </c>
      <c r="CG62" s="71" t="s">
        <v>237</v>
      </c>
      <c r="CH62" s="71" t="s">
        <v>240</v>
      </c>
      <c r="CJ62" s="71" t="s">
        <v>239</v>
      </c>
      <c r="CK62" s="71" t="s">
        <v>248</v>
      </c>
      <c r="CL62" s="64">
        <v>33</v>
      </c>
      <c r="CM62" s="64">
        <v>24</v>
      </c>
      <c r="CN62" s="71" t="s">
        <v>405</v>
      </c>
      <c r="CO62" s="71" t="s">
        <v>825</v>
      </c>
      <c r="CP62" s="71"/>
      <c r="CQ62" s="73" t="s">
        <v>406</v>
      </c>
      <c r="CS62" s="116">
        <v>9.1</v>
      </c>
      <c r="CT62" s="109">
        <v>6.15</v>
      </c>
      <c r="CU62" s="116">
        <v>36.200000000000003</v>
      </c>
      <c r="CV62" s="116">
        <v>11.3</v>
      </c>
      <c r="CW62" s="116">
        <v>35.1</v>
      </c>
      <c r="CX62" s="116">
        <v>11.7</v>
      </c>
      <c r="CY62" s="79">
        <f t="shared" si="51"/>
        <v>35.736842105263165</v>
      </c>
      <c r="CZ62" s="80">
        <f t="shared" si="52"/>
        <v>11.379306587883669</v>
      </c>
      <c r="DA62" s="64">
        <v>23</v>
      </c>
      <c r="DB62" s="81">
        <f t="shared" si="53"/>
        <v>69.696969696969703</v>
      </c>
      <c r="DC62" s="117">
        <v>14</v>
      </c>
      <c r="DD62" s="81">
        <f t="shared" si="54"/>
        <v>58.333333333333336</v>
      </c>
      <c r="DE62" s="80">
        <f t="shared" si="55"/>
        <v>64.912280701754383</v>
      </c>
      <c r="DG62" s="70">
        <f t="shared" si="56"/>
        <v>57</v>
      </c>
      <c r="DH62" s="71" t="s">
        <v>237</v>
      </c>
      <c r="DI62" s="64">
        <v>0</v>
      </c>
      <c r="DJ62" s="64">
        <v>100</v>
      </c>
      <c r="DM62" s="71" t="s">
        <v>400</v>
      </c>
      <c r="DN62" s="71" t="s">
        <v>832</v>
      </c>
      <c r="DO62" s="71" t="s">
        <v>239</v>
      </c>
      <c r="DP62" s="71"/>
      <c r="DQ62" s="71"/>
      <c r="DR62" s="71"/>
      <c r="DS62" s="115">
        <v>3.5</v>
      </c>
      <c r="DT62" s="115">
        <v>2.1</v>
      </c>
      <c r="JA62" s="115">
        <v>7.7</v>
      </c>
      <c r="JB62" s="115">
        <v>1.3</v>
      </c>
      <c r="JC62" s="115">
        <v>5.7</v>
      </c>
      <c r="JD62" s="115">
        <v>1.8</v>
      </c>
      <c r="JQ62" s="115">
        <v>4.3</v>
      </c>
      <c r="JR62" s="115">
        <v>1.1000000000000001</v>
      </c>
      <c r="JS62" s="115">
        <v>6.2</v>
      </c>
      <c r="JT62" s="115">
        <v>2.2999999999999998</v>
      </c>
      <c r="JU62" s="71" t="s">
        <v>252</v>
      </c>
    </row>
    <row r="63" spans="1:281" s="97" customFormat="1" ht="20" customHeight="1" x14ac:dyDescent="0.2">
      <c r="A63" s="95"/>
      <c r="L63" s="148"/>
      <c r="P63" s="99"/>
      <c r="Q63" s="99"/>
      <c r="R63" s="99"/>
      <c r="S63" s="99"/>
      <c r="T63" s="99"/>
      <c r="U63" s="99"/>
    </row>
    <row r="64" spans="1:281" s="85" customFormat="1" ht="20" customHeight="1" x14ac:dyDescent="0.2">
      <c r="A64" s="83">
        <v>419</v>
      </c>
      <c r="B64" s="120" t="s">
        <v>706</v>
      </c>
      <c r="C64" s="84" t="s">
        <v>408</v>
      </c>
      <c r="D64" s="84" t="s">
        <v>231</v>
      </c>
      <c r="E64" s="85">
        <v>37</v>
      </c>
      <c r="F64" s="85" t="s">
        <v>239</v>
      </c>
      <c r="G64" s="84" t="s">
        <v>237</v>
      </c>
      <c r="H64" s="84">
        <v>40943577</v>
      </c>
      <c r="I64" s="84" t="s">
        <v>867</v>
      </c>
      <c r="J64" s="84" t="s">
        <v>409</v>
      </c>
      <c r="K64" s="85">
        <v>2025</v>
      </c>
      <c r="L64" s="119" t="s">
        <v>410</v>
      </c>
      <c r="N64" s="84" t="s">
        <v>234</v>
      </c>
      <c r="O64" s="84" t="s">
        <v>358</v>
      </c>
      <c r="P64" s="87" t="s">
        <v>822</v>
      </c>
      <c r="Q64" s="87"/>
      <c r="R64" s="87" t="s">
        <v>358</v>
      </c>
      <c r="S64" s="87"/>
      <c r="T64" s="87" t="s">
        <v>358</v>
      </c>
      <c r="U64" s="87"/>
      <c r="V64" s="84" t="s">
        <v>236</v>
      </c>
      <c r="W64" s="84" t="s">
        <v>237</v>
      </c>
      <c r="X64" s="84" t="s">
        <v>411</v>
      </c>
      <c r="Y64" s="84" t="s">
        <v>827</v>
      </c>
      <c r="Z64" s="84" t="s">
        <v>240</v>
      </c>
      <c r="AB64" s="84" t="s">
        <v>239</v>
      </c>
      <c r="AC64" s="84" t="s">
        <v>924</v>
      </c>
      <c r="AD64" s="84" t="s">
        <v>239</v>
      </c>
      <c r="AE64" s="84" t="s">
        <v>874</v>
      </c>
      <c r="AF64" s="84" t="s">
        <v>239</v>
      </c>
      <c r="AG64" s="84" t="s">
        <v>240</v>
      </c>
      <c r="AH64" s="84" t="s">
        <v>239</v>
      </c>
      <c r="AI64" s="85">
        <v>30</v>
      </c>
      <c r="AK64" s="84" t="s">
        <v>239</v>
      </c>
      <c r="AL64" s="85">
        <v>5000</v>
      </c>
      <c r="AM64" s="84" t="s">
        <v>259</v>
      </c>
      <c r="AN64" s="84" t="s">
        <v>412</v>
      </c>
      <c r="AO64" s="84"/>
      <c r="AP64" s="84"/>
      <c r="AQ64" s="84"/>
      <c r="AR64" s="85">
        <v>64</v>
      </c>
      <c r="AS64" s="91">
        <v>5.9</v>
      </c>
      <c r="AT64" s="84">
        <v>1.41</v>
      </c>
      <c r="AU64" s="91">
        <v>6.1</v>
      </c>
      <c r="AV64" s="84">
        <v>1.35</v>
      </c>
      <c r="AW64" s="85">
        <v>20</v>
      </c>
      <c r="AX64" s="84" t="s">
        <v>253</v>
      </c>
      <c r="AY64" s="84" t="s">
        <v>245</v>
      </c>
      <c r="AZ64" s="84"/>
      <c r="BB64" s="84" t="s">
        <v>246</v>
      </c>
      <c r="BC64" s="88">
        <v>8.7200000000000006</v>
      </c>
      <c r="BD64" s="88">
        <v>1.1100000000000001</v>
      </c>
      <c r="BE64" s="88"/>
      <c r="BF64" s="88">
        <v>7.83</v>
      </c>
      <c r="BG64" s="88">
        <v>1.1200000000000001</v>
      </c>
      <c r="BH64" s="88"/>
      <c r="BI64" s="141">
        <v>2.8000000000000001E-2</v>
      </c>
      <c r="BJ64" s="85">
        <v>2</v>
      </c>
      <c r="BK64" s="89" t="str">
        <f t="shared" ref="BK64:BK65" si="57">IF(BC64&gt;BF64,"Case_greater_than_control","Control_greater_than_case")</f>
        <v>Case_greater_than_control</v>
      </c>
      <c r="BP64" s="84" t="s">
        <v>240</v>
      </c>
      <c r="BR64" s="84" t="s">
        <v>262</v>
      </c>
      <c r="BT64" s="91">
        <v>35.61</v>
      </c>
      <c r="BU64" s="91">
        <v>5.89</v>
      </c>
      <c r="BV64" s="91">
        <v>40.65</v>
      </c>
      <c r="BW64" s="91">
        <v>6.23</v>
      </c>
      <c r="BX64" s="91">
        <v>51.66</v>
      </c>
      <c r="BY64" s="91">
        <v>8.49</v>
      </c>
      <c r="BZ64" s="91">
        <v>50.61</v>
      </c>
      <c r="CA64" s="91">
        <v>8.5</v>
      </c>
      <c r="CB64" s="91">
        <v>12.72</v>
      </c>
      <c r="CC64" s="91">
        <v>4.5999999999999996</v>
      </c>
      <c r="CD64" s="91">
        <v>8.73</v>
      </c>
      <c r="CE64" s="91">
        <v>3.69</v>
      </c>
      <c r="CG64" s="84" t="s">
        <v>239</v>
      </c>
      <c r="CH64" s="84" t="s">
        <v>239</v>
      </c>
      <c r="CJ64" s="84" t="s">
        <v>239</v>
      </c>
      <c r="CK64" s="84" t="s">
        <v>248</v>
      </c>
      <c r="CL64" s="85">
        <v>21</v>
      </c>
      <c r="CM64" s="85">
        <v>30</v>
      </c>
      <c r="CN64" s="84" t="s">
        <v>334</v>
      </c>
      <c r="CO64" s="84" t="s">
        <v>825</v>
      </c>
      <c r="CP64" s="84"/>
      <c r="CQ64" s="89" t="s">
        <v>413</v>
      </c>
      <c r="CR64" s="89" t="s">
        <v>414</v>
      </c>
      <c r="CS64" s="104">
        <v>14.9</v>
      </c>
      <c r="CT64" s="104">
        <v>9.9</v>
      </c>
      <c r="CU64" s="104">
        <v>47.3</v>
      </c>
      <c r="CV64" s="104">
        <v>12.1</v>
      </c>
      <c r="CW64" s="104">
        <v>39</v>
      </c>
      <c r="CX64" s="104">
        <v>11.1</v>
      </c>
      <c r="CY64" s="123">
        <f t="shared" ref="CY64:CY65" si="58">IF(OR(CU64="",CW64="",CL64="",CM64="",CL64+CM64=0),"",(CU64*CL64+CW64*CM64)/(CL64+CM64))</f>
        <v>42.417647058823533</v>
      </c>
      <c r="CZ64" s="94">
        <f t="shared" ref="CZ64:CZ65" si="59">IF(OR(CY64="",CV64="",CX64=""),"",SQRT(((CL64-1)*(CV64^2) + (CM64-1)*(CX64^2) + CL64*(CU64-CY64)^2 + CM64*(CW64-CY64)^2) / (CL64+CM64-1)))</f>
        <v>12.126239415125415</v>
      </c>
      <c r="DA64" s="85">
        <v>15</v>
      </c>
      <c r="DB64" s="93">
        <f t="shared" ref="DB64:DB65" si="60">IF(DA64="","",(DA64/CL64)*100)</f>
        <v>71.428571428571431</v>
      </c>
      <c r="DC64" s="85">
        <v>19</v>
      </c>
      <c r="DD64" s="93">
        <f t="shared" ref="DD64:DD65" si="61">IF(DC64="","",(DC64/CM64)*100)</f>
        <v>63.333333333333329</v>
      </c>
      <c r="DE64" s="93">
        <f t="shared" ref="DE64:DE65" si="62">IF(AND(DA64&lt;&gt;"",DC64&lt;&gt;""),(DA64+DC64)/(CL64+CM64)*100,
   IF(AND(DB64&lt;&gt;"",DD64&lt;&gt;""),(DB64*CL64 + DD64*CM64)/(CL64+CM64),
   ""))</f>
        <v>66.666666666666657</v>
      </c>
      <c r="DG64" s="90">
        <f t="shared" ref="DG64:DG65" si="63">SUM(CL64,CM64)</f>
        <v>51</v>
      </c>
      <c r="DH64" s="84" t="s">
        <v>237</v>
      </c>
      <c r="DI64" s="85">
        <v>33</v>
      </c>
      <c r="DJ64" s="85">
        <v>67</v>
      </c>
      <c r="DK64" s="84" t="s">
        <v>415</v>
      </c>
      <c r="DM64" s="84"/>
      <c r="DN64" s="84"/>
      <c r="DO64" s="84" t="s">
        <v>239</v>
      </c>
      <c r="DP64" s="84"/>
      <c r="DQ64" s="84"/>
      <c r="DR64" s="84"/>
      <c r="DS64" s="88">
        <v>2.81</v>
      </c>
      <c r="DT64" s="88">
        <v>2.12</v>
      </c>
      <c r="HG64" s="88">
        <v>28.74</v>
      </c>
      <c r="HH64" s="88">
        <v>19.43</v>
      </c>
      <c r="HK64" s="88">
        <v>8.0399999999999991</v>
      </c>
      <c r="HL64" s="88">
        <v>8.66</v>
      </c>
      <c r="HO64" s="88">
        <v>44.25</v>
      </c>
      <c r="HP64" s="88">
        <v>9.66</v>
      </c>
      <c r="HT64" s="85">
        <v>0.56000000000000005</v>
      </c>
      <c r="JU64" s="84" t="s">
        <v>252</v>
      </c>
    </row>
    <row r="65" spans="1:281" s="64" customFormat="1" ht="20" customHeight="1" x14ac:dyDescent="0.2">
      <c r="A65" s="106">
        <v>419</v>
      </c>
      <c r="B65" s="113" t="s">
        <v>707</v>
      </c>
      <c r="C65" s="71" t="s">
        <v>408</v>
      </c>
      <c r="D65" s="71" t="s">
        <v>231</v>
      </c>
      <c r="E65" s="64">
        <v>37</v>
      </c>
      <c r="F65" s="64" t="s">
        <v>239</v>
      </c>
      <c r="G65" s="71" t="s">
        <v>237</v>
      </c>
      <c r="H65" s="71">
        <v>40943577</v>
      </c>
      <c r="I65" s="71" t="s">
        <v>868</v>
      </c>
      <c r="J65" s="71" t="s">
        <v>409</v>
      </c>
      <c r="K65" s="64">
        <v>2025</v>
      </c>
      <c r="L65" s="124" t="s">
        <v>410</v>
      </c>
      <c r="N65" s="71" t="s">
        <v>234</v>
      </c>
      <c r="O65" s="71" t="s">
        <v>358</v>
      </c>
      <c r="P65" s="108" t="s">
        <v>822</v>
      </c>
      <c r="Q65" s="108"/>
      <c r="R65" s="108" t="s">
        <v>358</v>
      </c>
      <c r="S65" s="108"/>
      <c r="T65" s="108" t="s">
        <v>358</v>
      </c>
      <c r="U65" s="108"/>
      <c r="V65" s="71" t="s">
        <v>236</v>
      </c>
      <c r="W65" s="71" t="s">
        <v>237</v>
      </c>
      <c r="X65" s="71" t="s">
        <v>411</v>
      </c>
      <c r="Y65" s="71" t="s">
        <v>827</v>
      </c>
      <c r="Z65" s="71" t="s">
        <v>240</v>
      </c>
      <c r="AB65" s="71" t="s">
        <v>239</v>
      </c>
      <c r="AC65" s="71" t="s">
        <v>924</v>
      </c>
      <c r="AD65" s="71" t="s">
        <v>239</v>
      </c>
      <c r="AE65" s="71" t="s">
        <v>874</v>
      </c>
      <c r="AF65" s="71" t="s">
        <v>239</v>
      </c>
      <c r="AG65" s="71" t="s">
        <v>240</v>
      </c>
      <c r="AH65" s="71" t="s">
        <v>239</v>
      </c>
      <c r="AI65" s="64">
        <v>30</v>
      </c>
      <c r="AK65" s="71" t="s">
        <v>239</v>
      </c>
      <c r="AL65" s="64">
        <v>5000</v>
      </c>
      <c r="AM65" s="71" t="s">
        <v>259</v>
      </c>
      <c r="AN65" s="71" t="s">
        <v>412</v>
      </c>
      <c r="AO65" s="71"/>
      <c r="AP65" s="71"/>
      <c r="AQ65" s="71"/>
      <c r="AR65" s="64">
        <v>64</v>
      </c>
      <c r="AS65" s="71">
        <v>16</v>
      </c>
      <c r="AT65" s="71">
        <v>3.64</v>
      </c>
      <c r="AU65" s="71">
        <v>18.5</v>
      </c>
      <c r="AV65" s="71">
        <v>7.9</v>
      </c>
      <c r="AW65" s="64">
        <v>20</v>
      </c>
      <c r="AX65" s="71" t="s">
        <v>391</v>
      </c>
      <c r="AY65" s="71" t="s">
        <v>245</v>
      </c>
      <c r="AZ65" s="71"/>
      <c r="BB65" s="71" t="s">
        <v>246</v>
      </c>
      <c r="BC65" s="65">
        <v>3.37</v>
      </c>
      <c r="BD65" s="65">
        <v>0.71</v>
      </c>
      <c r="BE65" s="65"/>
      <c r="BF65" s="65">
        <v>2.85</v>
      </c>
      <c r="BG65" s="65">
        <v>0.73</v>
      </c>
      <c r="BH65" s="65"/>
      <c r="BI65" s="114">
        <v>0.13100000000000001</v>
      </c>
      <c r="BJ65" s="64">
        <v>2</v>
      </c>
      <c r="BK65" s="73" t="str">
        <f t="shared" si="57"/>
        <v>Case_greater_than_control</v>
      </c>
      <c r="BP65" s="71" t="s">
        <v>240</v>
      </c>
      <c r="BR65" s="71" t="s">
        <v>262</v>
      </c>
      <c r="BT65" s="109">
        <v>35.61</v>
      </c>
      <c r="BU65" s="109">
        <v>5.89</v>
      </c>
      <c r="BV65" s="109">
        <v>40.65</v>
      </c>
      <c r="BW65" s="109">
        <v>6.23</v>
      </c>
      <c r="BX65" s="109">
        <v>51.66</v>
      </c>
      <c r="BY65" s="109">
        <v>8.49</v>
      </c>
      <c r="BZ65" s="109">
        <v>50.61</v>
      </c>
      <c r="CA65" s="109">
        <v>8.5</v>
      </c>
      <c r="CB65" s="109">
        <v>12.72</v>
      </c>
      <c r="CC65" s="109">
        <v>4.5999999999999996</v>
      </c>
      <c r="CD65" s="109">
        <v>8.73</v>
      </c>
      <c r="CE65" s="109">
        <v>3.69</v>
      </c>
      <c r="CG65" s="71" t="s">
        <v>239</v>
      </c>
      <c r="CH65" s="71" t="s">
        <v>239</v>
      </c>
      <c r="CJ65" s="71" t="s">
        <v>239</v>
      </c>
      <c r="CK65" s="71" t="s">
        <v>248</v>
      </c>
      <c r="CL65" s="64">
        <v>21</v>
      </c>
      <c r="CM65" s="64">
        <v>30</v>
      </c>
      <c r="CN65" s="71" t="s">
        <v>334</v>
      </c>
      <c r="CO65" s="71" t="s">
        <v>825</v>
      </c>
      <c r="CP65" s="71"/>
      <c r="CQ65" s="73" t="s">
        <v>413</v>
      </c>
      <c r="CR65" s="73" t="s">
        <v>414</v>
      </c>
      <c r="CS65" s="116">
        <v>14.9</v>
      </c>
      <c r="CT65" s="116">
        <v>9.9</v>
      </c>
      <c r="CU65" s="116">
        <v>47.3</v>
      </c>
      <c r="CV65" s="116">
        <v>12.1</v>
      </c>
      <c r="CW65" s="116">
        <v>39</v>
      </c>
      <c r="CX65" s="116">
        <v>11.1</v>
      </c>
      <c r="CY65" s="79">
        <f t="shared" si="58"/>
        <v>42.417647058823533</v>
      </c>
      <c r="CZ65" s="81">
        <f t="shared" si="59"/>
        <v>12.126239415125415</v>
      </c>
      <c r="DA65" s="64">
        <v>15</v>
      </c>
      <c r="DB65" s="80">
        <f t="shared" si="60"/>
        <v>71.428571428571431</v>
      </c>
      <c r="DC65" s="64">
        <v>19</v>
      </c>
      <c r="DD65" s="80">
        <f t="shared" si="61"/>
        <v>63.333333333333329</v>
      </c>
      <c r="DE65" s="80">
        <f t="shared" si="62"/>
        <v>66.666666666666657</v>
      </c>
      <c r="DG65" s="70">
        <f t="shared" si="63"/>
        <v>51</v>
      </c>
      <c r="DH65" s="71" t="s">
        <v>237</v>
      </c>
      <c r="DI65" s="64">
        <v>33</v>
      </c>
      <c r="DJ65" s="64">
        <v>67</v>
      </c>
      <c r="DK65" s="71" t="s">
        <v>415</v>
      </c>
      <c r="DM65" s="71"/>
      <c r="DN65" s="71"/>
      <c r="DO65" s="71" t="s">
        <v>239</v>
      </c>
      <c r="DP65" s="71"/>
      <c r="DQ65" s="71"/>
      <c r="DR65" s="71"/>
      <c r="DS65" s="65">
        <v>2.81</v>
      </c>
      <c r="DT65" s="65">
        <v>2.12</v>
      </c>
      <c r="HG65" s="65">
        <v>28.74</v>
      </c>
      <c r="HH65" s="65">
        <v>19.43</v>
      </c>
      <c r="HK65" s="65">
        <v>8.0399999999999991</v>
      </c>
      <c r="HL65" s="65">
        <v>8.66</v>
      </c>
      <c r="HO65" s="65">
        <v>44.25</v>
      </c>
      <c r="HP65" s="65">
        <v>9.66</v>
      </c>
      <c r="HT65" s="64">
        <v>0.56000000000000005</v>
      </c>
      <c r="JU65" s="71" t="s">
        <v>252</v>
      </c>
    </row>
    <row r="66" spans="1:281" s="97" customFormat="1" ht="20" customHeight="1" x14ac:dyDescent="0.2">
      <c r="A66" s="95"/>
      <c r="L66" s="148"/>
      <c r="P66" s="99"/>
      <c r="Q66" s="99"/>
      <c r="R66" s="99"/>
      <c r="S66" s="99"/>
      <c r="T66" s="99"/>
      <c r="U66" s="99"/>
    </row>
    <row r="67" spans="1:281" s="85" customFormat="1" ht="20" customHeight="1" x14ac:dyDescent="0.2">
      <c r="A67" s="83">
        <v>33</v>
      </c>
      <c r="B67" s="84" t="s">
        <v>708</v>
      </c>
      <c r="C67" s="84" t="s">
        <v>416</v>
      </c>
      <c r="D67" s="84" t="s">
        <v>231</v>
      </c>
      <c r="E67" s="85">
        <v>19</v>
      </c>
      <c r="F67" s="85" t="s">
        <v>239</v>
      </c>
      <c r="G67" s="84" t="s">
        <v>237</v>
      </c>
      <c r="H67" s="84">
        <v>37943724</v>
      </c>
      <c r="I67" s="84"/>
      <c r="J67" s="84" t="s">
        <v>417</v>
      </c>
      <c r="K67" s="85">
        <v>2024</v>
      </c>
      <c r="L67" s="119" t="s">
        <v>418</v>
      </c>
      <c r="N67" s="84" t="s">
        <v>234</v>
      </c>
      <c r="O67" s="84" t="s">
        <v>419</v>
      </c>
      <c r="P67" s="87" t="s">
        <v>816</v>
      </c>
      <c r="Q67" s="87" t="s">
        <v>464</v>
      </c>
      <c r="R67" s="87"/>
      <c r="S67" s="87"/>
      <c r="T67" s="87"/>
      <c r="U67" s="87"/>
      <c r="V67" s="84" t="s">
        <v>236</v>
      </c>
      <c r="W67" s="84" t="s">
        <v>237</v>
      </c>
      <c r="X67" s="84" t="s">
        <v>284</v>
      </c>
      <c r="Y67" s="84" t="s">
        <v>828</v>
      </c>
      <c r="Z67" s="84" t="s">
        <v>239</v>
      </c>
      <c r="AA67" s="85">
        <v>1024</v>
      </c>
      <c r="AB67" s="84" t="s">
        <v>237</v>
      </c>
      <c r="AC67" s="84" t="s">
        <v>925</v>
      </c>
      <c r="AD67" s="84" t="s">
        <v>239</v>
      </c>
      <c r="AE67" s="84" t="s">
        <v>874</v>
      </c>
      <c r="AF67" s="84" t="s">
        <v>239</v>
      </c>
      <c r="AG67" s="84" t="s">
        <v>240</v>
      </c>
      <c r="AH67" s="84" t="s">
        <v>239</v>
      </c>
      <c r="AI67" s="85">
        <v>35</v>
      </c>
      <c r="AK67" s="84" t="s">
        <v>239</v>
      </c>
      <c r="AL67" s="85">
        <v>2000</v>
      </c>
      <c r="AM67" s="84" t="s">
        <v>259</v>
      </c>
      <c r="AN67" s="84" t="s">
        <v>420</v>
      </c>
      <c r="AO67" s="84"/>
      <c r="AP67" s="84"/>
      <c r="AQ67" s="84"/>
      <c r="AR67" s="85">
        <v>32</v>
      </c>
      <c r="AS67" s="88">
        <v>5.51</v>
      </c>
      <c r="AT67" s="88">
        <v>1.36</v>
      </c>
      <c r="AU67" s="88">
        <v>5.6</v>
      </c>
      <c r="AV67" s="88">
        <v>0.93</v>
      </c>
      <c r="AW67" s="84">
        <v>20</v>
      </c>
      <c r="AX67" s="84" t="s">
        <v>253</v>
      </c>
      <c r="AY67" s="84" t="s">
        <v>245</v>
      </c>
      <c r="BB67" s="84" t="s">
        <v>246</v>
      </c>
      <c r="BC67" s="88">
        <v>8.1300000000000008</v>
      </c>
      <c r="BD67" s="88">
        <v>0.98</v>
      </c>
      <c r="BE67" s="88"/>
      <c r="BF67" s="88">
        <v>8.2100000000000009</v>
      </c>
      <c r="BG67" s="88">
        <v>0.76</v>
      </c>
      <c r="BH67" s="88"/>
      <c r="BI67" s="88">
        <v>0.71</v>
      </c>
      <c r="BJ67" s="85">
        <v>2</v>
      </c>
      <c r="BK67" s="89" t="str">
        <f t="shared" ref="BK67:BK72" si="64">IF(BC67&gt;BF67,"Case_greater_than_control","Control_greater_than_case")</f>
        <v>Control_greater_than_case</v>
      </c>
      <c r="BP67" s="84" t="s">
        <v>240</v>
      </c>
      <c r="BR67" s="84" t="s">
        <v>262</v>
      </c>
      <c r="BT67" s="91">
        <v>56.21</v>
      </c>
      <c r="BU67" s="91">
        <v>4.01</v>
      </c>
      <c r="BV67" s="91">
        <v>55.98</v>
      </c>
      <c r="BW67" s="91">
        <v>3.93</v>
      </c>
      <c r="BX67" s="91">
        <v>36.15</v>
      </c>
      <c r="BY67" s="91">
        <v>4.62</v>
      </c>
      <c r="BZ67" s="91">
        <v>36.520000000000003</v>
      </c>
      <c r="CA67" s="91">
        <v>4.09</v>
      </c>
      <c r="CB67" s="91">
        <v>7.64</v>
      </c>
      <c r="CC67" s="91">
        <v>3.08</v>
      </c>
      <c r="CD67" s="91">
        <v>7.49</v>
      </c>
      <c r="CE67" s="91">
        <v>2.1</v>
      </c>
      <c r="CG67" s="84" t="s">
        <v>239</v>
      </c>
      <c r="CH67" s="84" t="s">
        <v>240</v>
      </c>
      <c r="CJ67" s="84" t="s">
        <v>239</v>
      </c>
      <c r="CK67" s="84" t="s">
        <v>248</v>
      </c>
      <c r="CL67" s="85">
        <v>41</v>
      </c>
      <c r="CM67" s="85">
        <v>43</v>
      </c>
      <c r="CN67" s="84" t="s">
        <v>249</v>
      </c>
      <c r="CO67" s="84" t="s">
        <v>249</v>
      </c>
      <c r="CP67" s="84" t="s">
        <v>249</v>
      </c>
      <c r="CQ67" s="84" t="s">
        <v>421</v>
      </c>
      <c r="CR67" s="84" t="s">
        <v>422</v>
      </c>
      <c r="CS67" s="91">
        <v>6.29</v>
      </c>
      <c r="CT67" s="91">
        <v>3.74</v>
      </c>
      <c r="CU67" s="150">
        <v>38.22</v>
      </c>
      <c r="CV67" s="150">
        <v>10.17</v>
      </c>
      <c r="CW67" s="150">
        <v>40.630000000000003</v>
      </c>
      <c r="CX67" s="91">
        <v>12.83</v>
      </c>
      <c r="CY67" s="92">
        <f t="shared" ref="CY67:CY72" si="65">IF(OR(CU67="",CW67="",CL67="",CM67="",CL67+CM67=0),"",(CU67*CL67+CW67*CM67)/(CL67+CM67))</f>
        <v>39.453690476190481</v>
      </c>
      <c r="CZ67" s="93">
        <f t="shared" ref="CZ67:CZ72" si="66">IF(OR(CY67="",CV67="",CX67=""),"",SQRT(((CL67-1)*(CV67^2) + (CM67-1)*(CX67^2) + CL67*(CU67-CY67)^2 + CM67*(CW67-CY67)^2) / (CL67+CM67-1)))</f>
        <v>11.602155364752706</v>
      </c>
      <c r="DA67" s="84">
        <v>26</v>
      </c>
      <c r="DB67" s="94">
        <f t="shared" ref="DB67:DB72" si="67">IF(DA67="","",(DA67/CL67)*100)</f>
        <v>63.414634146341463</v>
      </c>
      <c r="DC67" s="105">
        <v>30</v>
      </c>
      <c r="DD67" s="94">
        <f t="shared" ref="DD67:DD72" si="68">IF(DC67="","",(DC67/CM67)*100)</f>
        <v>69.767441860465112</v>
      </c>
      <c r="DE67" s="93">
        <f t="shared" ref="DE67:DE72" si="69">IF(AND(DA67&lt;&gt;"",DC67&lt;&gt;""),(DA67+DC67)/(CL67+CM67)*100,
   IF(AND(DB67&lt;&gt;"",DD67&lt;&gt;""),(DB67*CL67 + DD67*CM67)/(CL67+CM67),
   ""))</f>
        <v>66.666666666666657</v>
      </c>
      <c r="DG67" s="90">
        <f t="shared" ref="DG67:DG72" si="70">SUM(CL67,CM67)</f>
        <v>84</v>
      </c>
      <c r="DH67" s="84" t="s">
        <v>240</v>
      </c>
      <c r="DL67" s="85" t="s">
        <v>423</v>
      </c>
      <c r="DO67" s="84" t="s">
        <v>239</v>
      </c>
      <c r="DP67" s="104">
        <v>2</v>
      </c>
      <c r="DQ67" s="104">
        <v>0</v>
      </c>
      <c r="DR67" s="104">
        <v>4</v>
      </c>
      <c r="DS67" s="151"/>
      <c r="DT67" s="151"/>
      <c r="ES67" s="88">
        <v>86.51</v>
      </c>
      <c r="ET67" s="88">
        <v>10.96</v>
      </c>
      <c r="EU67" s="88">
        <v>77.680000000000007</v>
      </c>
      <c r="EV67" s="88">
        <v>13.4</v>
      </c>
      <c r="FI67" s="88">
        <v>122.23</v>
      </c>
      <c r="FJ67" s="88">
        <v>30.35</v>
      </c>
      <c r="FK67" s="88">
        <v>146.49</v>
      </c>
      <c r="FL67" s="88">
        <v>33.75</v>
      </c>
      <c r="FM67" s="88">
        <v>33.35</v>
      </c>
      <c r="FN67" s="88">
        <v>11.41</v>
      </c>
      <c r="FO67" s="88">
        <v>46.17</v>
      </c>
      <c r="FP67" s="88">
        <v>12.55</v>
      </c>
      <c r="FQ67" s="88">
        <v>98.49</v>
      </c>
      <c r="FR67" s="88">
        <v>26.87</v>
      </c>
      <c r="FS67" s="88">
        <v>113.83</v>
      </c>
      <c r="FT67" s="88">
        <v>26.33</v>
      </c>
      <c r="GK67" s="88">
        <v>60.44</v>
      </c>
      <c r="GL67" s="88">
        <v>9.9499999999999993</v>
      </c>
      <c r="GM67" s="88">
        <v>47.63</v>
      </c>
      <c r="GN67" s="88">
        <v>7.96</v>
      </c>
      <c r="HA67" s="88">
        <v>56.3</v>
      </c>
      <c r="HB67" s="88">
        <v>12.42</v>
      </c>
      <c r="HC67" s="88">
        <v>43.71</v>
      </c>
      <c r="HD67" s="88">
        <v>10.47</v>
      </c>
      <c r="JU67" s="84" t="s">
        <v>252</v>
      </c>
    </row>
    <row r="68" spans="1:281" s="8" customFormat="1" ht="20" customHeight="1" x14ac:dyDescent="0.2">
      <c r="A68" s="35">
        <v>33</v>
      </c>
      <c r="B68" s="7" t="s">
        <v>709</v>
      </c>
      <c r="C68" s="7" t="s">
        <v>416</v>
      </c>
      <c r="D68" s="7" t="s">
        <v>231</v>
      </c>
      <c r="E68" s="8">
        <v>19</v>
      </c>
      <c r="F68" s="8" t="s">
        <v>237</v>
      </c>
      <c r="G68" s="7" t="s">
        <v>237</v>
      </c>
      <c r="H68" s="7">
        <v>37943724</v>
      </c>
      <c r="I68" s="7"/>
      <c r="J68" s="7" t="s">
        <v>417</v>
      </c>
      <c r="K68" s="8">
        <v>2024</v>
      </c>
      <c r="L68" s="12" t="s">
        <v>418</v>
      </c>
      <c r="N68" s="7" t="s">
        <v>234</v>
      </c>
      <c r="O68" s="7" t="s">
        <v>419</v>
      </c>
      <c r="P68" s="36" t="s">
        <v>816</v>
      </c>
      <c r="Q68" s="36" t="s">
        <v>464</v>
      </c>
      <c r="R68" s="36"/>
      <c r="S68" s="36"/>
      <c r="T68" s="36"/>
      <c r="U68" s="36"/>
      <c r="V68" s="7" t="s">
        <v>236</v>
      </c>
      <c r="W68" s="7" t="s">
        <v>237</v>
      </c>
      <c r="X68" s="7" t="s">
        <v>284</v>
      </c>
      <c r="Y68" s="7" t="s">
        <v>828</v>
      </c>
      <c r="Z68" s="7" t="s">
        <v>239</v>
      </c>
      <c r="AA68" s="8">
        <v>1024</v>
      </c>
      <c r="AB68" s="7" t="s">
        <v>237</v>
      </c>
      <c r="AC68" s="7" t="s">
        <v>925</v>
      </c>
      <c r="AD68" s="7" t="s">
        <v>239</v>
      </c>
      <c r="AE68" s="7" t="s">
        <v>874</v>
      </c>
      <c r="AF68" s="7" t="s">
        <v>239</v>
      </c>
      <c r="AG68" s="7" t="s">
        <v>240</v>
      </c>
      <c r="AH68" s="7" t="s">
        <v>239</v>
      </c>
      <c r="AI68" s="8">
        <v>35</v>
      </c>
      <c r="AK68" s="7" t="s">
        <v>239</v>
      </c>
      <c r="AL68" s="8">
        <v>2000</v>
      </c>
      <c r="AM68" s="7" t="s">
        <v>259</v>
      </c>
      <c r="AN68" s="7" t="s">
        <v>420</v>
      </c>
      <c r="AO68" s="7"/>
      <c r="AP68" s="7"/>
      <c r="AQ68" s="7"/>
      <c r="AR68" s="8">
        <v>32</v>
      </c>
      <c r="AS68" s="11"/>
      <c r="AT68" s="11"/>
      <c r="AU68" s="11"/>
      <c r="AV68" s="11"/>
      <c r="AW68" s="7">
        <v>20</v>
      </c>
      <c r="AX68" s="7" t="s">
        <v>253</v>
      </c>
      <c r="AY68" s="7" t="s">
        <v>277</v>
      </c>
      <c r="AZ68" s="7" t="s">
        <v>424</v>
      </c>
      <c r="BB68" s="7" t="s">
        <v>246</v>
      </c>
      <c r="BC68" s="11">
        <v>4.87</v>
      </c>
      <c r="BD68" s="11">
        <v>0.55000000000000004</v>
      </c>
      <c r="BE68" s="11"/>
      <c r="BF68" s="11">
        <v>4.92</v>
      </c>
      <c r="BG68" s="11">
        <v>0.51</v>
      </c>
      <c r="BH68" s="11"/>
      <c r="BI68" s="11">
        <v>0.66</v>
      </c>
      <c r="BJ68" s="8">
        <v>2</v>
      </c>
      <c r="BK68" s="5" t="str">
        <f t="shared" si="64"/>
        <v>Control_greater_than_case</v>
      </c>
      <c r="BP68" s="7" t="s">
        <v>240</v>
      </c>
      <c r="BR68" s="7" t="s">
        <v>262</v>
      </c>
      <c r="BT68" s="38">
        <v>56.21</v>
      </c>
      <c r="BU68" s="38">
        <v>4.01</v>
      </c>
      <c r="BV68" s="38">
        <v>55.98</v>
      </c>
      <c r="BW68" s="38">
        <v>3.93</v>
      </c>
      <c r="BX68" s="38">
        <v>36.15</v>
      </c>
      <c r="BY68" s="38">
        <v>4.62</v>
      </c>
      <c r="BZ68" s="38">
        <v>36.520000000000003</v>
      </c>
      <c r="CA68" s="38">
        <v>4.09</v>
      </c>
      <c r="CB68" s="38">
        <v>7.64</v>
      </c>
      <c r="CC68" s="38">
        <v>3.08</v>
      </c>
      <c r="CD68" s="38">
        <v>7.49</v>
      </c>
      <c r="CE68" s="38">
        <v>2.1</v>
      </c>
      <c r="CG68" s="7" t="s">
        <v>239</v>
      </c>
      <c r="CH68" s="7" t="s">
        <v>240</v>
      </c>
      <c r="CJ68" s="7" t="s">
        <v>239</v>
      </c>
      <c r="CK68" s="7" t="s">
        <v>248</v>
      </c>
      <c r="CL68" s="8">
        <v>41</v>
      </c>
      <c r="CM68" s="8">
        <v>43</v>
      </c>
      <c r="CN68" s="7" t="s">
        <v>249</v>
      </c>
      <c r="CO68" s="7" t="s">
        <v>249</v>
      </c>
      <c r="CP68" s="7" t="s">
        <v>249</v>
      </c>
      <c r="CQ68" s="7" t="s">
        <v>421</v>
      </c>
      <c r="CR68" s="7" t="s">
        <v>422</v>
      </c>
      <c r="CS68" s="38">
        <v>6.29</v>
      </c>
      <c r="CT68" s="38">
        <v>3.74</v>
      </c>
      <c r="CU68" s="47">
        <v>38.22</v>
      </c>
      <c r="CV68" s="47">
        <v>10.17</v>
      </c>
      <c r="CW68" s="47">
        <v>40.630000000000003</v>
      </c>
      <c r="CX68" s="38">
        <v>12.83</v>
      </c>
      <c r="CY68" s="39">
        <f t="shared" si="65"/>
        <v>39.453690476190481</v>
      </c>
      <c r="CZ68" s="28">
        <f t="shared" si="66"/>
        <v>11.602155364752706</v>
      </c>
      <c r="DA68" s="7">
        <v>26</v>
      </c>
      <c r="DB68" s="29">
        <f t="shared" si="67"/>
        <v>63.414634146341463</v>
      </c>
      <c r="DC68" s="43">
        <v>30</v>
      </c>
      <c r="DD68" s="29">
        <f t="shared" si="68"/>
        <v>69.767441860465112</v>
      </c>
      <c r="DE68" s="28">
        <f t="shared" si="69"/>
        <v>66.666666666666657</v>
      </c>
      <c r="DG68" s="6">
        <f t="shared" si="70"/>
        <v>84</v>
      </c>
      <c r="DH68" s="7" t="s">
        <v>240</v>
      </c>
      <c r="DL68" s="8" t="s">
        <v>423</v>
      </c>
      <c r="DO68" s="7" t="s">
        <v>239</v>
      </c>
      <c r="DP68" s="42">
        <v>2</v>
      </c>
      <c r="DQ68" s="42">
        <v>0</v>
      </c>
      <c r="DR68" s="42">
        <v>4</v>
      </c>
      <c r="DS68" s="48"/>
      <c r="DT68" s="48"/>
      <c r="ES68" s="11">
        <v>86.51</v>
      </c>
      <c r="ET68" s="11">
        <v>10.96</v>
      </c>
      <c r="EU68" s="11">
        <v>77.680000000000007</v>
      </c>
      <c r="EV68" s="11">
        <v>13.4</v>
      </c>
      <c r="FI68" s="11">
        <v>122.23</v>
      </c>
      <c r="FJ68" s="11">
        <v>30.35</v>
      </c>
      <c r="FK68" s="11">
        <v>146.49</v>
      </c>
      <c r="FL68" s="11">
        <v>33.75</v>
      </c>
      <c r="FM68" s="11">
        <v>33.35</v>
      </c>
      <c r="FN68" s="11">
        <v>11.41</v>
      </c>
      <c r="FO68" s="11">
        <v>46.17</v>
      </c>
      <c r="FP68" s="11">
        <v>12.55</v>
      </c>
      <c r="FQ68" s="11">
        <v>98.49</v>
      </c>
      <c r="FR68" s="11">
        <v>26.87</v>
      </c>
      <c r="FS68" s="11">
        <v>113.83</v>
      </c>
      <c r="FT68" s="11">
        <v>26.33</v>
      </c>
      <c r="GK68" s="11">
        <v>60.44</v>
      </c>
      <c r="GL68" s="11">
        <v>9.9499999999999993</v>
      </c>
      <c r="GM68" s="11">
        <v>47.63</v>
      </c>
      <c r="GN68" s="11">
        <v>7.96</v>
      </c>
      <c r="HA68" s="11">
        <v>56.3</v>
      </c>
      <c r="HB68" s="11">
        <v>12.42</v>
      </c>
      <c r="HC68" s="11">
        <v>43.71</v>
      </c>
      <c r="HD68" s="11">
        <v>10.47</v>
      </c>
      <c r="JU68" s="7" t="s">
        <v>252</v>
      </c>
    </row>
    <row r="69" spans="1:281" s="8" customFormat="1" ht="20" customHeight="1" x14ac:dyDescent="0.2">
      <c r="A69" s="35">
        <v>33</v>
      </c>
      <c r="B69" s="7" t="s">
        <v>710</v>
      </c>
      <c r="C69" s="7" t="s">
        <v>416</v>
      </c>
      <c r="D69" s="7" t="s">
        <v>231</v>
      </c>
      <c r="E69" s="8">
        <v>19</v>
      </c>
      <c r="F69" s="8" t="s">
        <v>239</v>
      </c>
      <c r="G69" s="7" t="s">
        <v>237</v>
      </c>
      <c r="H69" s="7">
        <v>37943724</v>
      </c>
      <c r="I69" s="7"/>
      <c r="J69" s="7" t="s">
        <v>417</v>
      </c>
      <c r="K69" s="8">
        <v>2024</v>
      </c>
      <c r="L69" s="12" t="s">
        <v>418</v>
      </c>
      <c r="N69" s="7" t="s">
        <v>234</v>
      </c>
      <c r="O69" s="7" t="s">
        <v>425</v>
      </c>
      <c r="P69" s="36" t="s">
        <v>817</v>
      </c>
      <c r="Q69" s="36" t="s">
        <v>817</v>
      </c>
      <c r="R69" s="36"/>
      <c r="S69" s="36"/>
      <c r="T69" s="36"/>
      <c r="U69" s="36"/>
      <c r="V69" s="7" t="s">
        <v>236</v>
      </c>
      <c r="W69" s="7" t="s">
        <v>237</v>
      </c>
      <c r="X69" s="7" t="s">
        <v>284</v>
      </c>
      <c r="Y69" s="7" t="s">
        <v>828</v>
      </c>
      <c r="Z69" s="7" t="s">
        <v>239</v>
      </c>
      <c r="AA69" s="8">
        <v>1024</v>
      </c>
      <c r="AB69" s="7" t="s">
        <v>237</v>
      </c>
      <c r="AC69" s="7" t="s">
        <v>926</v>
      </c>
      <c r="AD69" s="7" t="s">
        <v>239</v>
      </c>
      <c r="AE69" s="7" t="s">
        <v>874</v>
      </c>
      <c r="AF69" s="7" t="s">
        <v>239</v>
      </c>
      <c r="AG69" s="7" t="s">
        <v>240</v>
      </c>
      <c r="AH69" s="7" t="s">
        <v>239</v>
      </c>
      <c r="AI69" s="8">
        <v>35</v>
      </c>
      <c r="AK69" s="7" t="s">
        <v>239</v>
      </c>
      <c r="AL69" s="8">
        <v>2000</v>
      </c>
      <c r="AM69" s="7" t="s">
        <v>259</v>
      </c>
      <c r="AN69" s="7" t="s">
        <v>426</v>
      </c>
      <c r="AO69" s="7"/>
      <c r="AP69" s="7"/>
      <c r="AQ69" s="7"/>
      <c r="AR69" s="8">
        <v>32</v>
      </c>
      <c r="AS69" s="11">
        <v>6.51</v>
      </c>
      <c r="AT69" s="11">
        <v>1.86</v>
      </c>
      <c r="AU69" s="11">
        <v>6.56</v>
      </c>
      <c r="AV69" s="11">
        <v>1.75</v>
      </c>
      <c r="AW69" s="7">
        <v>20</v>
      </c>
      <c r="AX69" s="7" t="s">
        <v>253</v>
      </c>
      <c r="AY69" s="7" t="s">
        <v>245</v>
      </c>
      <c r="BB69" s="7" t="s">
        <v>246</v>
      </c>
      <c r="BC69" s="11">
        <v>8.2200000000000006</v>
      </c>
      <c r="BD69" s="11">
        <v>1.22</v>
      </c>
      <c r="BE69" s="11"/>
      <c r="BF69" s="11">
        <v>8.5299999999999994</v>
      </c>
      <c r="BG69" s="11">
        <v>1.47</v>
      </c>
      <c r="BH69" s="11"/>
      <c r="BI69" s="11">
        <v>0.31</v>
      </c>
      <c r="BJ69" s="8">
        <v>2</v>
      </c>
      <c r="BK69" s="5" t="str">
        <f t="shared" si="64"/>
        <v>Control_greater_than_case</v>
      </c>
      <c r="BP69" s="7" t="s">
        <v>240</v>
      </c>
      <c r="BR69" s="7" t="s">
        <v>262</v>
      </c>
      <c r="BT69" s="38">
        <v>57.57</v>
      </c>
      <c r="BU69" s="38">
        <v>3.07</v>
      </c>
      <c r="BV69" s="38">
        <v>57.38</v>
      </c>
      <c r="BW69" s="38">
        <v>2.79</v>
      </c>
      <c r="BX69" s="38">
        <v>31.34</v>
      </c>
      <c r="BY69" s="38">
        <v>3.23</v>
      </c>
      <c r="BZ69" s="38">
        <v>31.37</v>
      </c>
      <c r="CA69" s="38">
        <v>2.94</v>
      </c>
      <c r="CB69" s="38">
        <v>11.1</v>
      </c>
      <c r="CC69" s="38">
        <v>1.23</v>
      </c>
      <c r="CD69" s="38">
        <v>11.25</v>
      </c>
      <c r="CE69" s="38">
        <v>1.65</v>
      </c>
      <c r="CG69" s="7" t="s">
        <v>239</v>
      </c>
      <c r="CH69" s="7" t="s">
        <v>240</v>
      </c>
      <c r="CJ69" s="7" t="s">
        <v>239</v>
      </c>
      <c r="CK69" s="7" t="s">
        <v>248</v>
      </c>
      <c r="CL69" s="8">
        <v>41</v>
      </c>
      <c r="CM69" s="8">
        <v>43</v>
      </c>
      <c r="CN69" s="7" t="s">
        <v>249</v>
      </c>
      <c r="CO69" s="7" t="s">
        <v>249</v>
      </c>
      <c r="CP69" s="7" t="s">
        <v>249</v>
      </c>
      <c r="CQ69" s="7" t="s">
        <v>421</v>
      </c>
      <c r="CR69" s="7" t="s">
        <v>422</v>
      </c>
      <c r="CS69" s="38">
        <v>6.29</v>
      </c>
      <c r="CT69" s="38">
        <v>3.74</v>
      </c>
      <c r="CU69" s="47">
        <v>38.22</v>
      </c>
      <c r="CV69" s="47">
        <v>10.17</v>
      </c>
      <c r="CW69" s="47">
        <v>40.630000000000003</v>
      </c>
      <c r="CX69" s="38">
        <v>12.83</v>
      </c>
      <c r="CY69" s="39">
        <f t="shared" si="65"/>
        <v>39.453690476190481</v>
      </c>
      <c r="CZ69" s="28">
        <f t="shared" si="66"/>
        <v>11.602155364752706</v>
      </c>
      <c r="DA69" s="7">
        <v>26</v>
      </c>
      <c r="DB69" s="29">
        <f t="shared" si="67"/>
        <v>63.414634146341463</v>
      </c>
      <c r="DC69" s="43">
        <v>30</v>
      </c>
      <c r="DD69" s="29">
        <f t="shared" si="68"/>
        <v>69.767441860465112</v>
      </c>
      <c r="DE69" s="28">
        <f t="shared" si="69"/>
        <v>66.666666666666657</v>
      </c>
      <c r="DG69" s="6">
        <f t="shared" si="70"/>
        <v>84</v>
      </c>
      <c r="DH69" s="7" t="s">
        <v>240</v>
      </c>
      <c r="DL69" s="8" t="s">
        <v>423</v>
      </c>
      <c r="DO69" s="7" t="s">
        <v>239</v>
      </c>
      <c r="DP69" s="42">
        <v>2</v>
      </c>
      <c r="DQ69" s="42">
        <v>0</v>
      </c>
      <c r="DR69" s="42">
        <v>4</v>
      </c>
      <c r="DS69" s="48"/>
      <c r="DT69" s="48"/>
      <c r="ES69" s="11">
        <v>86.51</v>
      </c>
      <c r="ET69" s="11">
        <v>10.96</v>
      </c>
      <c r="EU69" s="11">
        <v>77.680000000000007</v>
      </c>
      <c r="EV69" s="11">
        <v>13.4</v>
      </c>
      <c r="FI69" s="11">
        <v>122.23</v>
      </c>
      <c r="FJ69" s="11">
        <v>30.35</v>
      </c>
      <c r="FK69" s="11">
        <v>146.49</v>
      </c>
      <c r="FL69" s="11">
        <v>33.75</v>
      </c>
      <c r="FM69" s="11">
        <v>33.35</v>
      </c>
      <c r="FN69" s="11">
        <v>11.41</v>
      </c>
      <c r="FO69" s="11">
        <v>46.17</v>
      </c>
      <c r="FP69" s="11">
        <v>12.55</v>
      </c>
      <c r="FQ69" s="11">
        <v>98.49</v>
      </c>
      <c r="FR69" s="11">
        <v>26.87</v>
      </c>
      <c r="FS69" s="11">
        <v>113.83</v>
      </c>
      <c r="FT69" s="11">
        <v>26.33</v>
      </c>
      <c r="GK69" s="11">
        <v>60.44</v>
      </c>
      <c r="GL69" s="11">
        <v>9.9499999999999993</v>
      </c>
      <c r="GM69" s="11">
        <v>47.63</v>
      </c>
      <c r="GN69" s="11">
        <v>7.96</v>
      </c>
      <c r="HA69" s="11">
        <v>56.3</v>
      </c>
      <c r="HB69" s="11">
        <v>12.42</v>
      </c>
      <c r="HC69" s="11">
        <v>43.71</v>
      </c>
      <c r="HD69" s="11">
        <v>10.47</v>
      </c>
      <c r="JU69" s="7" t="s">
        <v>252</v>
      </c>
    </row>
    <row r="70" spans="1:281" s="8" customFormat="1" ht="20" customHeight="1" x14ac:dyDescent="0.2">
      <c r="A70" s="35">
        <v>33</v>
      </c>
      <c r="B70" s="7" t="s">
        <v>711</v>
      </c>
      <c r="C70" s="7" t="s">
        <v>416</v>
      </c>
      <c r="D70" s="7" t="s">
        <v>231</v>
      </c>
      <c r="E70" s="8">
        <v>19</v>
      </c>
      <c r="F70" s="8" t="s">
        <v>237</v>
      </c>
      <c r="G70" s="7" t="s">
        <v>237</v>
      </c>
      <c r="H70" s="7">
        <v>37943724</v>
      </c>
      <c r="I70" s="7"/>
      <c r="J70" s="7" t="s">
        <v>417</v>
      </c>
      <c r="K70" s="8">
        <v>2024</v>
      </c>
      <c r="L70" s="12" t="s">
        <v>418</v>
      </c>
      <c r="N70" s="7" t="s">
        <v>234</v>
      </c>
      <c r="O70" s="7" t="s">
        <v>425</v>
      </c>
      <c r="P70" s="36" t="s">
        <v>817</v>
      </c>
      <c r="Q70" s="36" t="s">
        <v>817</v>
      </c>
      <c r="R70" s="36"/>
      <c r="S70" s="36"/>
      <c r="T70" s="36"/>
      <c r="U70" s="36"/>
      <c r="V70" s="7" t="s">
        <v>236</v>
      </c>
      <c r="W70" s="7" t="s">
        <v>237</v>
      </c>
      <c r="X70" s="7" t="s">
        <v>284</v>
      </c>
      <c r="Y70" s="7" t="s">
        <v>828</v>
      </c>
      <c r="Z70" s="7" t="s">
        <v>239</v>
      </c>
      <c r="AA70" s="8">
        <v>1024</v>
      </c>
      <c r="AB70" s="7" t="s">
        <v>237</v>
      </c>
      <c r="AC70" s="7" t="s">
        <v>926</v>
      </c>
      <c r="AD70" s="7" t="s">
        <v>239</v>
      </c>
      <c r="AE70" s="7" t="s">
        <v>874</v>
      </c>
      <c r="AF70" s="7" t="s">
        <v>239</v>
      </c>
      <c r="AG70" s="7" t="s">
        <v>240</v>
      </c>
      <c r="AH70" s="7" t="s">
        <v>239</v>
      </c>
      <c r="AI70" s="8">
        <v>35</v>
      </c>
      <c r="AK70" s="7" t="s">
        <v>239</v>
      </c>
      <c r="AL70" s="8">
        <v>2000</v>
      </c>
      <c r="AM70" s="7" t="s">
        <v>259</v>
      </c>
      <c r="AN70" s="7" t="s">
        <v>426</v>
      </c>
      <c r="AO70" s="7"/>
      <c r="AP70" s="7"/>
      <c r="AQ70" s="7"/>
      <c r="AR70" s="8">
        <v>32</v>
      </c>
      <c r="AS70" s="11"/>
      <c r="AT70" s="11"/>
      <c r="AU70" s="11"/>
      <c r="AV70" s="11"/>
      <c r="AW70" s="7">
        <v>20</v>
      </c>
      <c r="AX70" s="7" t="s">
        <v>253</v>
      </c>
      <c r="AY70" s="7" t="s">
        <v>277</v>
      </c>
      <c r="AZ70" s="7" t="s">
        <v>424</v>
      </c>
      <c r="BB70" s="7" t="s">
        <v>246</v>
      </c>
      <c r="BC70" s="11">
        <v>5.03</v>
      </c>
      <c r="BD70" s="11">
        <v>0.99</v>
      </c>
      <c r="BE70" s="11"/>
      <c r="BF70" s="11">
        <v>4.9000000000000004</v>
      </c>
      <c r="BG70" s="11">
        <v>0.73</v>
      </c>
      <c r="BH70" s="11"/>
      <c r="BI70" s="11">
        <v>0.51</v>
      </c>
      <c r="BJ70" s="8">
        <v>2</v>
      </c>
      <c r="BK70" s="5" t="str">
        <f t="shared" si="64"/>
        <v>Case_greater_than_control</v>
      </c>
      <c r="BP70" s="7" t="s">
        <v>240</v>
      </c>
      <c r="BR70" s="7" t="s">
        <v>262</v>
      </c>
      <c r="BT70" s="38">
        <v>57.57</v>
      </c>
      <c r="BU70" s="38">
        <v>3.07</v>
      </c>
      <c r="BV70" s="38">
        <v>57.38</v>
      </c>
      <c r="BW70" s="38">
        <v>2.79</v>
      </c>
      <c r="BX70" s="38">
        <v>31.34</v>
      </c>
      <c r="BY70" s="38">
        <v>3.23</v>
      </c>
      <c r="BZ70" s="38">
        <v>31.37</v>
      </c>
      <c r="CA70" s="38">
        <v>2.94</v>
      </c>
      <c r="CB70" s="38">
        <v>11.1</v>
      </c>
      <c r="CC70" s="38">
        <v>1.23</v>
      </c>
      <c r="CD70" s="38">
        <v>11.25</v>
      </c>
      <c r="CE70" s="38">
        <v>1.65</v>
      </c>
      <c r="CG70" s="7" t="s">
        <v>239</v>
      </c>
      <c r="CH70" s="7" t="s">
        <v>240</v>
      </c>
      <c r="CJ70" s="7" t="s">
        <v>239</v>
      </c>
      <c r="CK70" s="7" t="s">
        <v>248</v>
      </c>
      <c r="CL70" s="8">
        <v>41</v>
      </c>
      <c r="CM70" s="8">
        <v>43</v>
      </c>
      <c r="CN70" s="7" t="s">
        <v>249</v>
      </c>
      <c r="CO70" s="7" t="s">
        <v>249</v>
      </c>
      <c r="CP70" s="7" t="s">
        <v>249</v>
      </c>
      <c r="CQ70" s="7" t="s">
        <v>421</v>
      </c>
      <c r="CR70" s="7" t="s">
        <v>422</v>
      </c>
      <c r="CS70" s="38">
        <v>6.29</v>
      </c>
      <c r="CT70" s="38">
        <v>3.74</v>
      </c>
      <c r="CU70" s="47">
        <v>38.22</v>
      </c>
      <c r="CV70" s="47">
        <v>10.17</v>
      </c>
      <c r="CW70" s="47">
        <v>40.630000000000003</v>
      </c>
      <c r="CX70" s="38">
        <v>12.83</v>
      </c>
      <c r="CY70" s="39">
        <f t="shared" si="65"/>
        <v>39.453690476190481</v>
      </c>
      <c r="CZ70" s="28">
        <f t="shared" si="66"/>
        <v>11.602155364752706</v>
      </c>
      <c r="DA70" s="7">
        <v>26</v>
      </c>
      <c r="DB70" s="29">
        <f t="shared" si="67"/>
        <v>63.414634146341463</v>
      </c>
      <c r="DC70" s="43">
        <v>30</v>
      </c>
      <c r="DD70" s="29">
        <f t="shared" si="68"/>
        <v>69.767441860465112</v>
      </c>
      <c r="DE70" s="28">
        <f t="shared" si="69"/>
        <v>66.666666666666657</v>
      </c>
      <c r="DG70" s="6">
        <f t="shared" si="70"/>
        <v>84</v>
      </c>
      <c r="DH70" s="7" t="s">
        <v>240</v>
      </c>
      <c r="DL70" s="8" t="s">
        <v>423</v>
      </c>
      <c r="DO70" s="7" t="s">
        <v>239</v>
      </c>
      <c r="DP70" s="42">
        <v>2</v>
      </c>
      <c r="DQ70" s="42">
        <v>0</v>
      </c>
      <c r="DR70" s="42">
        <v>4</v>
      </c>
      <c r="DS70" s="48"/>
      <c r="DT70" s="48"/>
      <c r="ES70" s="11">
        <v>86.51</v>
      </c>
      <c r="ET70" s="11">
        <v>10.96</v>
      </c>
      <c r="EU70" s="11">
        <v>77.680000000000007</v>
      </c>
      <c r="EV70" s="11">
        <v>13.4</v>
      </c>
      <c r="FI70" s="11">
        <v>122.23</v>
      </c>
      <c r="FJ70" s="11">
        <v>30.35</v>
      </c>
      <c r="FK70" s="11">
        <v>146.49</v>
      </c>
      <c r="FL70" s="11">
        <v>33.75</v>
      </c>
      <c r="FM70" s="11">
        <v>33.35</v>
      </c>
      <c r="FN70" s="11">
        <v>11.41</v>
      </c>
      <c r="FO70" s="11">
        <v>46.17</v>
      </c>
      <c r="FP70" s="11">
        <v>12.55</v>
      </c>
      <c r="FQ70" s="11">
        <v>98.49</v>
      </c>
      <c r="FR70" s="11">
        <v>26.87</v>
      </c>
      <c r="FS70" s="11">
        <v>113.83</v>
      </c>
      <c r="FT70" s="11">
        <v>26.33</v>
      </c>
      <c r="GK70" s="11">
        <v>60.44</v>
      </c>
      <c r="GL70" s="11">
        <v>9.9499999999999993</v>
      </c>
      <c r="GM70" s="11">
        <v>47.63</v>
      </c>
      <c r="GN70" s="11">
        <v>7.96</v>
      </c>
      <c r="HA70" s="11">
        <v>56.3</v>
      </c>
      <c r="HB70" s="11">
        <v>12.42</v>
      </c>
      <c r="HC70" s="11">
        <v>43.71</v>
      </c>
      <c r="HD70" s="11">
        <v>10.47</v>
      </c>
      <c r="JU70" s="7" t="s">
        <v>252</v>
      </c>
    </row>
    <row r="71" spans="1:281" s="8" customFormat="1" ht="20" customHeight="1" x14ac:dyDescent="0.2">
      <c r="A71" s="35">
        <v>33</v>
      </c>
      <c r="B71" s="7" t="s">
        <v>712</v>
      </c>
      <c r="C71" s="7" t="s">
        <v>416</v>
      </c>
      <c r="D71" s="7" t="s">
        <v>231</v>
      </c>
      <c r="E71" s="8">
        <v>19</v>
      </c>
      <c r="F71" s="8" t="s">
        <v>239</v>
      </c>
      <c r="G71" s="7" t="s">
        <v>237</v>
      </c>
      <c r="H71" s="7">
        <v>37943724</v>
      </c>
      <c r="I71" s="7"/>
      <c r="J71" s="7" t="s">
        <v>417</v>
      </c>
      <c r="K71" s="8">
        <v>2024</v>
      </c>
      <c r="L71" s="12" t="s">
        <v>418</v>
      </c>
      <c r="N71" s="7" t="s">
        <v>295</v>
      </c>
      <c r="O71" s="7" t="s">
        <v>427</v>
      </c>
      <c r="P71" s="37" t="s">
        <v>819</v>
      </c>
      <c r="Q71" s="37" t="s">
        <v>1008</v>
      </c>
      <c r="R71" s="37"/>
      <c r="S71" s="37"/>
      <c r="T71" s="37"/>
      <c r="U71" s="37" t="s">
        <v>298</v>
      </c>
      <c r="V71" s="7" t="s">
        <v>236</v>
      </c>
      <c r="W71" s="7" t="s">
        <v>237</v>
      </c>
      <c r="X71" s="7" t="s">
        <v>284</v>
      </c>
      <c r="Y71" s="7" t="s">
        <v>828</v>
      </c>
      <c r="Z71" s="7" t="s">
        <v>239</v>
      </c>
      <c r="AA71" s="8">
        <v>1024</v>
      </c>
      <c r="AB71" s="7" t="s">
        <v>237</v>
      </c>
      <c r="AC71" s="7" t="s">
        <v>927</v>
      </c>
      <c r="AD71" s="7" t="s">
        <v>239</v>
      </c>
      <c r="AE71" s="7" t="s">
        <v>874</v>
      </c>
      <c r="AF71" s="7" t="s">
        <v>239</v>
      </c>
      <c r="AG71" s="7" t="s">
        <v>240</v>
      </c>
      <c r="AH71" s="7" t="s">
        <v>239</v>
      </c>
      <c r="AI71" s="8">
        <v>35</v>
      </c>
      <c r="AK71" s="7" t="s">
        <v>239</v>
      </c>
      <c r="AL71" s="8">
        <v>2000</v>
      </c>
      <c r="AM71" s="7" t="s">
        <v>259</v>
      </c>
      <c r="AN71" s="7" t="s">
        <v>342</v>
      </c>
      <c r="AO71" s="7"/>
      <c r="AP71" s="7"/>
      <c r="AQ71" s="7"/>
      <c r="AR71" s="8">
        <v>32</v>
      </c>
      <c r="AS71" s="11">
        <v>8</v>
      </c>
      <c r="AT71" s="11">
        <v>1.53</v>
      </c>
      <c r="AU71" s="10">
        <v>8.6630000000000003</v>
      </c>
      <c r="AV71" s="11">
        <v>2.68</v>
      </c>
      <c r="AW71" s="7">
        <v>20</v>
      </c>
      <c r="AX71" s="7" t="s">
        <v>253</v>
      </c>
      <c r="AY71" s="7" t="s">
        <v>245</v>
      </c>
      <c r="BB71" s="7" t="s">
        <v>246</v>
      </c>
      <c r="BC71" s="11">
        <v>6.29</v>
      </c>
      <c r="BD71" s="11">
        <v>0.84</v>
      </c>
      <c r="BE71" s="11"/>
      <c r="BF71" s="11">
        <v>6.9</v>
      </c>
      <c r="BG71" s="11">
        <v>1.1399999999999999</v>
      </c>
      <c r="BH71" s="11"/>
      <c r="BI71" s="10">
        <v>6.0000000000000001E-3</v>
      </c>
      <c r="BJ71" s="8">
        <v>2</v>
      </c>
      <c r="BK71" s="5" t="str">
        <f t="shared" si="64"/>
        <v>Control_greater_than_case</v>
      </c>
      <c r="BP71" s="7" t="s">
        <v>240</v>
      </c>
      <c r="BR71" s="7" t="s">
        <v>262</v>
      </c>
      <c r="BT71" s="38">
        <v>51.41</v>
      </c>
      <c r="BU71" s="38">
        <v>3.51</v>
      </c>
      <c r="BV71" s="38">
        <v>51.61</v>
      </c>
      <c r="BW71" s="38">
        <v>3.45</v>
      </c>
      <c r="BX71" s="38">
        <v>44.47</v>
      </c>
      <c r="BY71" s="38">
        <v>4.0599999999999996</v>
      </c>
      <c r="BZ71" s="38">
        <v>44.33</v>
      </c>
      <c r="CA71" s="38">
        <v>4.07</v>
      </c>
      <c r="CB71" s="38">
        <v>4.12</v>
      </c>
      <c r="CC71" s="38">
        <v>1.17</v>
      </c>
      <c r="CD71" s="38">
        <v>4.07</v>
      </c>
      <c r="CE71" s="38">
        <v>1.74</v>
      </c>
      <c r="CG71" s="7" t="s">
        <v>239</v>
      </c>
      <c r="CH71" s="7" t="s">
        <v>240</v>
      </c>
      <c r="CJ71" s="7" t="s">
        <v>239</v>
      </c>
      <c r="CK71" s="7" t="s">
        <v>248</v>
      </c>
      <c r="CL71" s="8">
        <v>41</v>
      </c>
      <c r="CM71" s="8">
        <v>43</v>
      </c>
      <c r="CN71" s="7" t="s">
        <v>249</v>
      </c>
      <c r="CO71" s="7" t="s">
        <v>249</v>
      </c>
      <c r="CP71" s="7" t="s">
        <v>249</v>
      </c>
      <c r="CQ71" s="7" t="s">
        <v>421</v>
      </c>
      <c r="CR71" s="7" t="s">
        <v>422</v>
      </c>
      <c r="CS71" s="38">
        <v>6.29</v>
      </c>
      <c r="CT71" s="38">
        <v>3.74</v>
      </c>
      <c r="CU71" s="47">
        <v>38.22</v>
      </c>
      <c r="CV71" s="47">
        <v>10.17</v>
      </c>
      <c r="CW71" s="47">
        <v>40.630000000000003</v>
      </c>
      <c r="CX71" s="38">
        <v>12.83</v>
      </c>
      <c r="CY71" s="39">
        <f t="shared" si="65"/>
        <v>39.453690476190481</v>
      </c>
      <c r="CZ71" s="28">
        <f t="shared" si="66"/>
        <v>11.602155364752706</v>
      </c>
      <c r="DA71" s="7">
        <v>26</v>
      </c>
      <c r="DB71" s="29">
        <f t="shared" si="67"/>
        <v>63.414634146341463</v>
      </c>
      <c r="DC71" s="43">
        <v>30</v>
      </c>
      <c r="DD71" s="29">
        <f t="shared" si="68"/>
        <v>69.767441860465112</v>
      </c>
      <c r="DE71" s="28">
        <f t="shared" si="69"/>
        <v>66.666666666666657</v>
      </c>
      <c r="DG71" s="6">
        <f t="shared" si="70"/>
        <v>84</v>
      </c>
      <c r="DH71" s="7" t="s">
        <v>240</v>
      </c>
      <c r="DL71" s="8" t="s">
        <v>423</v>
      </c>
      <c r="DO71" s="7" t="s">
        <v>239</v>
      </c>
      <c r="DP71" s="42">
        <v>2</v>
      </c>
      <c r="DQ71" s="42">
        <v>0</v>
      </c>
      <c r="DR71" s="42">
        <v>4</v>
      </c>
      <c r="DS71" s="48"/>
      <c r="DT71" s="48"/>
      <c r="ES71" s="11">
        <v>86.51</v>
      </c>
      <c r="ET71" s="11">
        <v>10.96</v>
      </c>
      <c r="EU71" s="11">
        <v>77.680000000000007</v>
      </c>
      <c r="EV71" s="11">
        <v>13.4</v>
      </c>
      <c r="FI71" s="11">
        <v>122.23</v>
      </c>
      <c r="FJ71" s="11">
        <v>30.35</v>
      </c>
      <c r="FK71" s="11">
        <v>146.49</v>
      </c>
      <c r="FL71" s="11">
        <v>33.75</v>
      </c>
      <c r="FM71" s="11">
        <v>33.35</v>
      </c>
      <c r="FN71" s="11">
        <v>11.41</v>
      </c>
      <c r="FO71" s="11">
        <v>46.17</v>
      </c>
      <c r="FP71" s="11">
        <v>12.55</v>
      </c>
      <c r="FQ71" s="11">
        <v>98.49</v>
      </c>
      <c r="FR71" s="11">
        <v>26.87</v>
      </c>
      <c r="FS71" s="11">
        <v>113.83</v>
      </c>
      <c r="FT71" s="11">
        <v>26.33</v>
      </c>
      <c r="GK71" s="11">
        <v>60.44</v>
      </c>
      <c r="GL71" s="11">
        <v>9.9499999999999993</v>
      </c>
      <c r="GM71" s="11">
        <v>47.63</v>
      </c>
      <c r="GN71" s="11">
        <v>7.96</v>
      </c>
      <c r="HA71" s="11">
        <v>56.3</v>
      </c>
      <c r="HB71" s="11">
        <v>12.42</v>
      </c>
      <c r="HC71" s="11">
        <v>43.71</v>
      </c>
      <c r="HD71" s="11">
        <v>10.47</v>
      </c>
      <c r="JU71" s="7" t="s">
        <v>252</v>
      </c>
    </row>
    <row r="72" spans="1:281" s="64" customFormat="1" ht="20" customHeight="1" x14ac:dyDescent="0.2">
      <c r="A72" s="106">
        <v>33</v>
      </c>
      <c r="B72" s="71" t="s">
        <v>713</v>
      </c>
      <c r="C72" s="71" t="s">
        <v>416</v>
      </c>
      <c r="D72" s="71" t="s">
        <v>231</v>
      </c>
      <c r="E72" s="64">
        <v>19</v>
      </c>
      <c r="F72" s="64" t="s">
        <v>237</v>
      </c>
      <c r="G72" s="71" t="s">
        <v>237</v>
      </c>
      <c r="H72" s="71">
        <v>37943724</v>
      </c>
      <c r="I72" s="71"/>
      <c r="J72" s="71" t="s">
        <v>417</v>
      </c>
      <c r="K72" s="64">
        <v>2024</v>
      </c>
      <c r="L72" s="124" t="s">
        <v>418</v>
      </c>
      <c r="N72" s="71" t="s">
        <v>295</v>
      </c>
      <c r="O72" s="71" t="s">
        <v>427</v>
      </c>
      <c r="P72" s="112" t="s">
        <v>819</v>
      </c>
      <c r="Q72" s="112" t="s">
        <v>1008</v>
      </c>
      <c r="R72" s="112"/>
      <c r="S72" s="112"/>
      <c r="T72" s="112"/>
      <c r="U72" s="112" t="s">
        <v>298</v>
      </c>
      <c r="V72" s="71" t="s">
        <v>236</v>
      </c>
      <c r="W72" s="71" t="s">
        <v>237</v>
      </c>
      <c r="X72" s="71" t="s">
        <v>284</v>
      </c>
      <c r="Y72" s="71" t="s">
        <v>828</v>
      </c>
      <c r="Z72" s="71" t="s">
        <v>239</v>
      </c>
      <c r="AA72" s="64">
        <v>1024</v>
      </c>
      <c r="AB72" s="71" t="s">
        <v>237</v>
      </c>
      <c r="AC72" s="71" t="s">
        <v>927</v>
      </c>
      <c r="AD72" s="71" t="s">
        <v>239</v>
      </c>
      <c r="AE72" s="71" t="s">
        <v>874</v>
      </c>
      <c r="AF72" s="71" t="s">
        <v>239</v>
      </c>
      <c r="AG72" s="71" t="s">
        <v>240</v>
      </c>
      <c r="AH72" s="71" t="s">
        <v>239</v>
      </c>
      <c r="AI72" s="64">
        <v>35</v>
      </c>
      <c r="AK72" s="71" t="s">
        <v>239</v>
      </c>
      <c r="AL72" s="64">
        <v>2000</v>
      </c>
      <c r="AM72" s="71" t="s">
        <v>259</v>
      </c>
      <c r="AN72" s="71" t="s">
        <v>342</v>
      </c>
      <c r="AO72" s="71"/>
      <c r="AP72" s="71"/>
      <c r="AQ72" s="71"/>
      <c r="AR72" s="64">
        <v>32</v>
      </c>
      <c r="AS72" s="65"/>
      <c r="AT72" s="65"/>
      <c r="AU72" s="65"/>
      <c r="AV72" s="65"/>
      <c r="AW72" s="71">
        <v>20</v>
      </c>
      <c r="AX72" s="71" t="s">
        <v>253</v>
      </c>
      <c r="AY72" s="71" t="s">
        <v>277</v>
      </c>
      <c r="AZ72" s="71" t="s">
        <v>424</v>
      </c>
      <c r="BB72" s="71" t="s">
        <v>246</v>
      </c>
      <c r="BC72" s="65">
        <v>5.0199999999999996</v>
      </c>
      <c r="BD72" s="65">
        <v>1.1200000000000001</v>
      </c>
      <c r="BE72" s="65"/>
      <c r="BF72" s="65">
        <v>4.46</v>
      </c>
      <c r="BG72" s="65">
        <v>1.1499999999999999</v>
      </c>
      <c r="BH72" s="65"/>
      <c r="BI72" s="65">
        <v>0.03</v>
      </c>
      <c r="BJ72" s="64">
        <v>2</v>
      </c>
      <c r="BK72" s="73" t="str">
        <f t="shared" si="64"/>
        <v>Case_greater_than_control</v>
      </c>
      <c r="BP72" s="71" t="s">
        <v>240</v>
      </c>
      <c r="BR72" s="71" t="s">
        <v>262</v>
      </c>
      <c r="BT72" s="109">
        <v>51.41</v>
      </c>
      <c r="BU72" s="109">
        <v>3.51</v>
      </c>
      <c r="BV72" s="109">
        <v>51.61</v>
      </c>
      <c r="BW72" s="109">
        <v>3.45</v>
      </c>
      <c r="BX72" s="109">
        <v>44.47</v>
      </c>
      <c r="BY72" s="109">
        <v>4.0599999999999996</v>
      </c>
      <c r="BZ72" s="109">
        <v>44.33</v>
      </c>
      <c r="CA72" s="109">
        <v>4.07</v>
      </c>
      <c r="CB72" s="109">
        <v>4.12</v>
      </c>
      <c r="CC72" s="109">
        <v>1.17</v>
      </c>
      <c r="CD72" s="109">
        <v>4.07</v>
      </c>
      <c r="CE72" s="109">
        <v>1.74</v>
      </c>
      <c r="CG72" s="71" t="s">
        <v>239</v>
      </c>
      <c r="CH72" s="71" t="s">
        <v>240</v>
      </c>
      <c r="CJ72" s="71" t="s">
        <v>239</v>
      </c>
      <c r="CK72" s="71" t="s">
        <v>248</v>
      </c>
      <c r="CL72" s="64">
        <v>41</v>
      </c>
      <c r="CM72" s="64">
        <v>43</v>
      </c>
      <c r="CN72" s="71" t="s">
        <v>249</v>
      </c>
      <c r="CO72" s="71" t="s">
        <v>249</v>
      </c>
      <c r="CP72" s="71" t="s">
        <v>249</v>
      </c>
      <c r="CQ72" s="71" t="s">
        <v>421</v>
      </c>
      <c r="CR72" s="71" t="s">
        <v>422</v>
      </c>
      <c r="CS72" s="109">
        <v>6.29</v>
      </c>
      <c r="CT72" s="109">
        <v>3.74</v>
      </c>
      <c r="CU72" s="152">
        <v>38.22</v>
      </c>
      <c r="CV72" s="152">
        <v>10.17</v>
      </c>
      <c r="CW72" s="152">
        <v>40.630000000000003</v>
      </c>
      <c r="CX72" s="109">
        <v>12.83</v>
      </c>
      <c r="CY72" s="110">
        <f t="shared" si="65"/>
        <v>39.453690476190481</v>
      </c>
      <c r="CZ72" s="80">
        <f t="shared" si="66"/>
        <v>11.602155364752706</v>
      </c>
      <c r="DA72" s="71">
        <v>26</v>
      </c>
      <c r="DB72" s="81">
        <f t="shared" si="67"/>
        <v>63.414634146341463</v>
      </c>
      <c r="DC72" s="117">
        <v>30</v>
      </c>
      <c r="DD72" s="81">
        <f t="shared" si="68"/>
        <v>69.767441860465112</v>
      </c>
      <c r="DE72" s="80">
        <f t="shared" si="69"/>
        <v>66.666666666666657</v>
      </c>
      <c r="DG72" s="70">
        <f t="shared" si="70"/>
        <v>84</v>
      </c>
      <c r="DH72" s="71" t="s">
        <v>240</v>
      </c>
      <c r="DL72" s="64" t="s">
        <v>423</v>
      </c>
      <c r="DO72" s="71" t="s">
        <v>239</v>
      </c>
      <c r="DP72" s="116">
        <v>2</v>
      </c>
      <c r="DQ72" s="116">
        <v>0</v>
      </c>
      <c r="DR72" s="116">
        <v>4</v>
      </c>
      <c r="DS72" s="153"/>
      <c r="DT72" s="153"/>
      <c r="ES72" s="65">
        <v>86.51</v>
      </c>
      <c r="ET72" s="65">
        <v>10.96</v>
      </c>
      <c r="EU72" s="65">
        <v>77.680000000000007</v>
      </c>
      <c r="EV72" s="65">
        <v>13.4</v>
      </c>
      <c r="FI72" s="65">
        <v>122.23</v>
      </c>
      <c r="FJ72" s="65">
        <v>30.35</v>
      </c>
      <c r="FK72" s="65">
        <v>146.49</v>
      </c>
      <c r="FL72" s="65">
        <v>33.75</v>
      </c>
      <c r="FM72" s="65">
        <v>33.35</v>
      </c>
      <c r="FN72" s="65">
        <v>11.41</v>
      </c>
      <c r="FO72" s="65">
        <v>46.17</v>
      </c>
      <c r="FP72" s="65">
        <v>12.55</v>
      </c>
      <c r="FQ72" s="65">
        <v>98.49</v>
      </c>
      <c r="FR72" s="65">
        <v>26.87</v>
      </c>
      <c r="FS72" s="65">
        <v>113.83</v>
      </c>
      <c r="FT72" s="65">
        <v>26.33</v>
      </c>
      <c r="GK72" s="65">
        <v>60.44</v>
      </c>
      <c r="GL72" s="65">
        <v>9.9499999999999993</v>
      </c>
      <c r="GM72" s="65">
        <v>47.63</v>
      </c>
      <c r="GN72" s="65">
        <v>7.96</v>
      </c>
      <c r="HA72" s="65">
        <v>56.3</v>
      </c>
      <c r="HB72" s="65">
        <v>12.42</v>
      </c>
      <c r="HC72" s="65">
        <v>43.71</v>
      </c>
      <c r="HD72" s="65">
        <v>10.47</v>
      </c>
      <c r="JU72" s="71" t="s">
        <v>252</v>
      </c>
    </row>
    <row r="73" spans="1:281" s="97" customFormat="1" ht="20" customHeight="1" x14ac:dyDescent="0.2">
      <c r="A73" s="95"/>
      <c r="L73" s="148"/>
      <c r="P73" s="99"/>
      <c r="Q73" s="99"/>
      <c r="R73" s="99"/>
      <c r="S73" s="99"/>
      <c r="T73" s="99"/>
      <c r="U73" s="99"/>
    </row>
    <row r="74" spans="1:281" s="85" customFormat="1" ht="20" customHeight="1" x14ac:dyDescent="0.2">
      <c r="A74" s="83">
        <v>218</v>
      </c>
      <c r="B74" s="84" t="s">
        <v>714</v>
      </c>
      <c r="C74" s="84" t="s">
        <v>428</v>
      </c>
      <c r="D74" s="84" t="s">
        <v>231</v>
      </c>
      <c r="E74" s="85">
        <v>20</v>
      </c>
      <c r="F74" s="85" t="s">
        <v>239</v>
      </c>
      <c r="G74" s="84" t="s">
        <v>237</v>
      </c>
      <c r="H74" s="84"/>
      <c r="I74" s="84"/>
      <c r="J74" s="84" t="s">
        <v>429</v>
      </c>
      <c r="K74" s="85">
        <v>2024</v>
      </c>
      <c r="L74" s="119" t="s">
        <v>430</v>
      </c>
      <c r="N74" s="84" t="s">
        <v>234</v>
      </c>
      <c r="O74" s="84" t="s">
        <v>431</v>
      </c>
      <c r="P74" s="87" t="s">
        <v>818</v>
      </c>
      <c r="Q74" s="87" t="s">
        <v>817</v>
      </c>
      <c r="R74" s="87"/>
      <c r="S74" s="87"/>
      <c r="T74" s="87"/>
      <c r="U74" s="87"/>
      <c r="V74" s="84" t="s">
        <v>367</v>
      </c>
      <c r="W74" s="84" t="s">
        <v>237</v>
      </c>
      <c r="X74" s="84" t="s">
        <v>411</v>
      </c>
      <c r="Y74" s="84" t="s">
        <v>827</v>
      </c>
      <c r="Z74" s="84" t="s">
        <v>239</v>
      </c>
      <c r="AA74" s="85">
        <v>2048</v>
      </c>
      <c r="AB74" s="84" t="s">
        <v>237</v>
      </c>
      <c r="AC74" s="84" t="s">
        <v>928</v>
      </c>
      <c r="AD74" s="84" t="s">
        <v>239</v>
      </c>
      <c r="AE74" s="84" t="s">
        <v>873</v>
      </c>
      <c r="AF74" s="84" t="s">
        <v>239</v>
      </c>
      <c r="AG74" s="84" t="s">
        <v>240</v>
      </c>
      <c r="AH74" s="84" t="s">
        <v>239</v>
      </c>
      <c r="AI74" s="84">
        <v>32</v>
      </c>
      <c r="AJ74" s="84" t="s">
        <v>797</v>
      </c>
      <c r="AK74" s="84" t="s">
        <v>239</v>
      </c>
      <c r="AL74" s="84" t="s">
        <v>432</v>
      </c>
      <c r="AM74" s="84" t="s">
        <v>259</v>
      </c>
      <c r="AN74" s="84" t="s">
        <v>324</v>
      </c>
      <c r="AO74" s="84"/>
      <c r="AP74" s="84"/>
      <c r="AQ74" s="84"/>
      <c r="AR74" s="85">
        <v>32</v>
      </c>
      <c r="AS74" s="84"/>
      <c r="AT74" s="84"/>
      <c r="AU74" s="84"/>
      <c r="AV74" s="84"/>
      <c r="AW74" s="85">
        <v>50</v>
      </c>
      <c r="AX74" s="84" t="s">
        <v>253</v>
      </c>
      <c r="AY74" s="84" t="s">
        <v>245</v>
      </c>
      <c r="BB74" s="84" t="s">
        <v>379</v>
      </c>
      <c r="BC74" s="88">
        <v>6.25</v>
      </c>
      <c r="BD74" s="141">
        <v>0.89800000000000002</v>
      </c>
      <c r="BE74" s="141"/>
      <c r="BF74" s="88">
        <v>6.52</v>
      </c>
      <c r="BG74" s="141">
        <v>0.82499999999999996</v>
      </c>
      <c r="BH74" s="141"/>
      <c r="BP74" s="84" t="s">
        <v>240</v>
      </c>
      <c r="BR74" s="84" t="s">
        <v>262</v>
      </c>
      <c r="BT74" s="104">
        <v>33.1</v>
      </c>
      <c r="BU74" s="91">
        <v>3.8</v>
      </c>
      <c r="BV74" s="104">
        <v>32.9</v>
      </c>
      <c r="BW74" s="91">
        <v>3.81</v>
      </c>
      <c r="BX74" s="104">
        <v>52.4</v>
      </c>
      <c r="BY74" s="91">
        <v>5.96</v>
      </c>
      <c r="BZ74" s="104">
        <v>54.9</v>
      </c>
      <c r="CA74" s="91">
        <v>5.84</v>
      </c>
      <c r="CG74" s="84" t="s">
        <v>239</v>
      </c>
      <c r="CH74" s="84" t="s">
        <v>239</v>
      </c>
      <c r="CJ74" s="84" t="s">
        <v>239</v>
      </c>
      <c r="CK74" s="84" t="s">
        <v>248</v>
      </c>
      <c r="CL74" s="85">
        <v>34</v>
      </c>
      <c r="CM74" s="85">
        <v>23</v>
      </c>
      <c r="CN74" s="84" t="s">
        <v>249</v>
      </c>
      <c r="CO74" s="84" t="s">
        <v>249</v>
      </c>
      <c r="CP74" s="84" t="s">
        <v>249</v>
      </c>
      <c r="CQ74" s="84" t="s">
        <v>433</v>
      </c>
      <c r="CR74" s="84" t="s">
        <v>434</v>
      </c>
      <c r="CS74" s="85">
        <f>(0+2*(10)+35)/4</f>
        <v>13.75</v>
      </c>
      <c r="CT74" s="88">
        <f>SQRT(((0-2*10+35)^2)/4 + (35)^2/12)</f>
        <v>12.583057392117915</v>
      </c>
      <c r="CU74" s="104">
        <v>41.9</v>
      </c>
      <c r="CV74" s="104">
        <v>11.9</v>
      </c>
      <c r="CW74" s="104">
        <v>44.4</v>
      </c>
      <c r="CX74" s="104">
        <v>13</v>
      </c>
      <c r="CY74" s="123">
        <f t="shared" ref="CY74:CY77" si="71">IF(OR(CU74="",CW74="",CL74="",CM74="",CL74+CM74=0),"",(CU74*CL74+CW74*CM74)/(CL74+CM74))</f>
        <v>42.908771929824553</v>
      </c>
      <c r="CZ74" s="93">
        <f t="shared" ref="CZ74:CZ77" si="72">IF(OR(CY74="",CV74="",CX74=""),"",SQRT(((CL74-1)*(CV74^2) + (CM74-1)*(CX74^2) + CL74*(CU74-CY74)^2 + CM74*(CW74-CY74)^2) / (CL74+CM74-1)))</f>
        <v>12.303364532600632</v>
      </c>
      <c r="DA74" s="84">
        <v>23</v>
      </c>
      <c r="DB74" s="94">
        <f t="shared" ref="DB74:DB77" si="73">IF(DA74="","",(DA74/CL74)*100)</f>
        <v>67.64705882352942</v>
      </c>
      <c r="DC74" s="85">
        <v>15</v>
      </c>
      <c r="DD74" s="94">
        <f t="shared" ref="DD74:DD77" si="74">IF(DC74="","",(DC74/CM74)*100)</f>
        <v>65.217391304347828</v>
      </c>
      <c r="DE74" s="93">
        <f t="shared" ref="DE74:DE77" si="75">IF(AND(DA74&lt;&gt;"",DC74&lt;&gt;""),(DA74+DC74)/(CL74+CM74)*100,
   IF(AND(DB74&lt;&gt;"",DD74&lt;&gt;""),(DB74*CL74 + DD74*CM74)/(CL74+CM74),
   ""))</f>
        <v>66.666666666666657</v>
      </c>
      <c r="DG74" s="90">
        <f t="shared" ref="DG74:DG77" si="76">SUM(CL74,CM74)</f>
        <v>57</v>
      </c>
      <c r="DH74" s="84" t="s">
        <v>237</v>
      </c>
      <c r="DI74" s="85">
        <v>2.9</v>
      </c>
      <c r="DJ74" s="85">
        <v>97.1</v>
      </c>
      <c r="DK74" s="84" t="s">
        <v>239</v>
      </c>
      <c r="DL74" s="84" t="s">
        <v>435</v>
      </c>
      <c r="DM74" s="84" t="s">
        <v>436</v>
      </c>
      <c r="DN74" s="84" t="s">
        <v>833</v>
      </c>
      <c r="DO74" s="84" t="s">
        <v>239</v>
      </c>
      <c r="DP74" s="88">
        <v>3</v>
      </c>
      <c r="DQ74" s="91">
        <v>0</v>
      </c>
      <c r="DR74" s="91">
        <v>6.5</v>
      </c>
      <c r="DS74" s="88">
        <f>(DQ74 + 2*DP74+DR74)/4</f>
        <v>3.125</v>
      </c>
      <c r="DT74" s="88">
        <f>SQRT(((DQ74-2*DP74+DR74)^2)/4 + (DR74-DQ74)^2/12)</f>
        <v>1.8929694486000912</v>
      </c>
      <c r="JU74" s="84" t="s">
        <v>252</v>
      </c>
    </row>
    <row r="75" spans="1:281" s="8" customFormat="1" ht="20" customHeight="1" x14ac:dyDescent="0.2">
      <c r="A75" s="35">
        <v>218</v>
      </c>
      <c r="B75" s="7" t="s">
        <v>715</v>
      </c>
      <c r="C75" s="7" t="s">
        <v>428</v>
      </c>
      <c r="D75" s="7" t="s">
        <v>231</v>
      </c>
      <c r="E75" s="8">
        <v>20</v>
      </c>
      <c r="F75" s="8" t="s">
        <v>239</v>
      </c>
      <c r="G75" s="7" t="s">
        <v>237</v>
      </c>
      <c r="H75" s="7"/>
      <c r="I75" s="7"/>
      <c r="J75" s="7" t="s">
        <v>429</v>
      </c>
      <c r="K75" s="8">
        <v>2024</v>
      </c>
      <c r="L75" s="12" t="s">
        <v>430</v>
      </c>
      <c r="N75" s="7" t="s">
        <v>234</v>
      </c>
      <c r="O75" s="7" t="s">
        <v>437</v>
      </c>
      <c r="P75" s="36" t="s">
        <v>818</v>
      </c>
      <c r="Q75" s="36" t="s">
        <v>817</v>
      </c>
      <c r="R75" s="36"/>
      <c r="S75" s="36"/>
      <c r="T75" s="36"/>
      <c r="U75" s="36"/>
      <c r="V75" s="7" t="s">
        <v>367</v>
      </c>
      <c r="W75" s="7" t="s">
        <v>237</v>
      </c>
      <c r="X75" s="7" t="s">
        <v>411</v>
      </c>
      <c r="Y75" s="7" t="s">
        <v>827</v>
      </c>
      <c r="Z75" s="7" t="s">
        <v>239</v>
      </c>
      <c r="AA75" s="8">
        <v>2048</v>
      </c>
      <c r="AB75" s="7" t="s">
        <v>237</v>
      </c>
      <c r="AC75" s="7" t="s">
        <v>928</v>
      </c>
      <c r="AD75" s="7" t="s">
        <v>239</v>
      </c>
      <c r="AE75" s="7" t="s">
        <v>873</v>
      </c>
      <c r="AF75" s="7" t="s">
        <v>239</v>
      </c>
      <c r="AG75" s="7" t="s">
        <v>240</v>
      </c>
      <c r="AH75" s="7" t="s">
        <v>239</v>
      </c>
      <c r="AI75" s="7">
        <v>32</v>
      </c>
      <c r="AJ75" s="7" t="s">
        <v>797</v>
      </c>
      <c r="AK75" s="7" t="s">
        <v>239</v>
      </c>
      <c r="AL75" s="7" t="s">
        <v>432</v>
      </c>
      <c r="AM75" s="7" t="s">
        <v>259</v>
      </c>
      <c r="AN75" s="7" t="s">
        <v>324</v>
      </c>
      <c r="AO75" s="7"/>
      <c r="AP75" s="7"/>
      <c r="AQ75" s="7"/>
      <c r="AR75" s="8">
        <v>32</v>
      </c>
      <c r="AS75" s="7"/>
      <c r="AT75" s="7"/>
      <c r="AU75" s="7"/>
      <c r="AV75" s="7"/>
      <c r="AW75" s="8">
        <v>50</v>
      </c>
      <c r="AX75" s="7" t="s">
        <v>253</v>
      </c>
      <c r="AY75" s="7" t="s">
        <v>245</v>
      </c>
      <c r="BB75" s="7" t="s">
        <v>379</v>
      </c>
      <c r="BC75" s="11">
        <v>6.57</v>
      </c>
      <c r="BD75" s="10">
        <v>0.88300000000000001</v>
      </c>
      <c r="BE75" s="10"/>
      <c r="BF75" s="11">
        <v>6.51</v>
      </c>
      <c r="BG75" s="10">
        <v>0.6</v>
      </c>
      <c r="BH75" s="10"/>
      <c r="BP75" s="7" t="s">
        <v>240</v>
      </c>
      <c r="BR75" s="7" t="s">
        <v>262</v>
      </c>
      <c r="BT75" s="42">
        <v>33.1</v>
      </c>
      <c r="BU75" s="38">
        <v>3.8</v>
      </c>
      <c r="BV75" s="42">
        <v>32.9</v>
      </c>
      <c r="BW75" s="38">
        <v>3.81</v>
      </c>
      <c r="BX75" s="42">
        <v>52.4</v>
      </c>
      <c r="BY75" s="38">
        <v>5.96</v>
      </c>
      <c r="BZ75" s="42">
        <v>54.9</v>
      </c>
      <c r="CA75" s="38">
        <v>5.84</v>
      </c>
      <c r="CG75" s="7" t="s">
        <v>239</v>
      </c>
      <c r="CH75" s="7" t="s">
        <v>239</v>
      </c>
      <c r="CJ75" s="7" t="s">
        <v>239</v>
      </c>
      <c r="CK75" s="7" t="s">
        <v>248</v>
      </c>
      <c r="CL75" s="8">
        <v>34</v>
      </c>
      <c r="CM75" s="8">
        <v>23</v>
      </c>
      <c r="CN75" s="7" t="s">
        <v>249</v>
      </c>
      <c r="CO75" s="7" t="s">
        <v>249</v>
      </c>
      <c r="CP75" s="7" t="s">
        <v>249</v>
      </c>
      <c r="CQ75" s="7" t="s">
        <v>433</v>
      </c>
      <c r="CR75" s="7" t="s">
        <v>434</v>
      </c>
      <c r="CS75" s="8">
        <f>(0+2*(10)+35)/4</f>
        <v>13.75</v>
      </c>
      <c r="CT75" s="11">
        <f t="shared" ref="CT75" si="77">SQRT(((0-2*10+35)^2)/4 + (35)^2/12)</f>
        <v>12.583057392117915</v>
      </c>
      <c r="CU75" s="42">
        <v>41.9</v>
      </c>
      <c r="CV75" s="42">
        <v>11.9</v>
      </c>
      <c r="CW75" s="42">
        <v>44.4</v>
      </c>
      <c r="CX75" s="42">
        <v>13</v>
      </c>
      <c r="CY75" s="27">
        <f t="shared" si="71"/>
        <v>42.908771929824553</v>
      </c>
      <c r="CZ75" s="28">
        <f t="shared" si="72"/>
        <v>12.303364532600632</v>
      </c>
      <c r="DA75" s="7">
        <v>23</v>
      </c>
      <c r="DB75" s="29">
        <f t="shared" si="73"/>
        <v>67.64705882352942</v>
      </c>
      <c r="DC75" s="8">
        <v>15</v>
      </c>
      <c r="DD75" s="29">
        <f t="shared" si="74"/>
        <v>65.217391304347828</v>
      </c>
      <c r="DE75" s="28">
        <f t="shared" si="75"/>
        <v>66.666666666666657</v>
      </c>
      <c r="DG75" s="6">
        <f t="shared" si="76"/>
        <v>57</v>
      </c>
      <c r="DH75" s="7" t="s">
        <v>237</v>
      </c>
      <c r="DI75" s="8">
        <v>2.9</v>
      </c>
      <c r="DJ75" s="8">
        <v>97.1</v>
      </c>
      <c r="DK75" s="7" t="s">
        <v>239</v>
      </c>
      <c r="DL75" s="7" t="s">
        <v>435</v>
      </c>
      <c r="DM75" s="7" t="s">
        <v>436</v>
      </c>
      <c r="DN75" s="7" t="s">
        <v>833</v>
      </c>
      <c r="DO75" s="7" t="s">
        <v>239</v>
      </c>
      <c r="DP75" s="11">
        <v>3</v>
      </c>
      <c r="DQ75" s="38">
        <v>0</v>
      </c>
      <c r="DR75" s="38">
        <v>6.5</v>
      </c>
      <c r="DS75" s="11">
        <f t="shared" ref="DS75:DS117" si="78">(DQ75 + 2*DP75+DR75)/4</f>
        <v>3.125</v>
      </c>
      <c r="DT75" s="11">
        <f t="shared" ref="DT75:DT117" si="79">SQRT(((DQ75-2*DP75+DR75)^2)/4 + (DR75-DQ75)^2/12)</f>
        <v>1.8929694486000912</v>
      </c>
      <c r="JU75" s="7" t="s">
        <v>252</v>
      </c>
    </row>
    <row r="76" spans="1:281" s="8" customFormat="1" ht="20" customHeight="1" x14ac:dyDescent="0.2">
      <c r="A76" s="35">
        <v>218</v>
      </c>
      <c r="B76" s="7" t="s">
        <v>716</v>
      </c>
      <c r="C76" s="7" t="s">
        <v>428</v>
      </c>
      <c r="D76" s="7" t="s">
        <v>231</v>
      </c>
      <c r="E76" s="8">
        <v>20</v>
      </c>
      <c r="F76" s="8" t="s">
        <v>239</v>
      </c>
      <c r="G76" s="7" t="s">
        <v>237</v>
      </c>
      <c r="H76" s="7"/>
      <c r="I76" s="7"/>
      <c r="J76" s="7" t="s">
        <v>429</v>
      </c>
      <c r="K76" s="8">
        <v>2024</v>
      </c>
      <c r="L76" s="12" t="s">
        <v>430</v>
      </c>
      <c r="N76" s="7" t="s">
        <v>234</v>
      </c>
      <c r="O76" s="7" t="s">
        <v>431</v>
      </c>
      <c r="P76" s="36" t="s">
        <v>818</v>
      </c>
      <c r="Q76" s="36" t="s">
        <v>817</v>
      </c>
      <c r="R76" s="36"/>
      <c r="S76" s="36"/>
      <c r="T76" s="36"/>
      <c r="U76" s="36"/>
      <c r="V76" s="7" t="s">
        <v>367</v>
      </c>
      <c r="W76" s="7" t="s">
        <v>237</v>
      </c>
      <c r="X76" s="7" t="s">
        <v>411</v>
      </c>
      <c r="Y76" s="7" t="s">
        <v>827</v>
      </c>
      <c r="Z76" s="7" t="s">
        <v>239</v>
      </c>
      <c r="AA76" s="8">
        <v>2048</v>
      </c>
      <c r="AB76" s="7" t="s">
        <v>237</v>
      </c>
      <c r="AC76" s="7" t="s">
        <v>928</v>
      </c>
      <c r="AD76" s="7" t="s">
        <v>239</v>
      </c>
      <c r="AE76" s="7" t="s">
        <v>873</v>
      </c>
      <c r="AF76" s="7" t="s">
        <v>239</v>
      </c>
      <c r="AG76" s="7" t="s">
        <v>240</v>
      </c>
      <c r="AH76" s="7" t="s">
        <v>239</v>
      </c>
      <c r="AI76" s="7">
        <v>32</v>
      </c>
      <c r="AJ76" s="7" t="s">
        <v>797</v>
      </c>
      <c r="AK76" s="7" t="s">
        <v>239</v>
      </c>
      <c r="AL76" s="7" t="s">
        <v>432</v>
      </c>
      <c r="AM76" s="7" t="s">
        <v>259</v>
      </c>
      <c r="AN76" s="7" t="s">
        <v>324</v>
      </c>
      <c r="AO76" s="7"/>
      <c r="AP76" s="7"/>
      <c r="AQ76" s="7"/>
      <c r="AR76" s="8">
        <v>32</v>
      </c>
      <c r="AS76" s="7"/>
      <c r="AT76" s="7"/>
      <c r="AU76" s="7"/>
      <c r="AV76" s="7"/>
      <c r="AW76" s="8">
        <v>50</v>
      </c>
      <c r="AX76" s="7" t="s">
        <v>253</v>
      </c>
      <c r="AY76" s="7" t="s">
        <v>245</v>
      </c>
      <c r="BB76" s="7" t="s">
        <v>379</v>
      </c>
      <c r="BC76" s="11">
        <v>5.66</v>
      </c>
      <c r="BD76" s="10">
        <v>0.85199999999999998</v>
      </c>
      <c r="BE76" s="10"/>
      <c r="BF76" s="11">
        <v>6.52</v>
      </c>
      <c r="BG76" s="10">
        <v>0.82499999999999996</v>
      </c>
      <c r="BH76" s="10"/>
      <c r="BP76" s="7" t="s">
        <v>240</v>
      </c>
      <c r="BR76" s="7" t="s">
        <v>262</v>
      </c>
      <c r="BT76" s="42">
        <v>30.8</v>
      </c>
      <c r="BU76" s="38">
        <v>4.4800000000000004</v>
      </c>
      <c r="BV76" s="42">
        <v>32.9</v>
      </c>
      <c r="BW76" s="38">
        <v>3.81</v>
      </c>
      <c r="BX76" s="42">
        <v>54.8</v>
      </c>
      <c r="BY76" s="38">
        <v>7.04</v>
      </c>
      <c r="BZ76" s="42">
        <v>54.9</v>
      </c>
      <c r="CA76" s="38">
        <v>5.84</v>
      </c>
      <c r="CG76" s="7" t="s">
        <v>239</v>
      </c>
      <c r="CH76" s="7" t="s">
        <v>239</v>
      </c>
      <c r="CJ76" s="7" t="s">
        <v>239</v>
      </c>
      <c r="CK76" s="7" t="s">
        <v>248</v>
      </c>
      <c r="CL76" s="8">
        <v>13</v>
      </c>
      <c r="CM76" s="8">
        <v>23</v>
      </c>
      <c r="CN76" s="7" t="s">
        <v>291</v>
      </c>
      <c r="CO76" s="7" t="s">
        <v>291</v>
      </c>
      <c r="CP76" s="7" t="s">
        <v>291</v>
      </c>
      <c r="CQ76" s="7" t="s">
        <v>438</v>
      </c>
      <c r="CR76" s="7" t="s">
        <v>434</v>
      </c>
      <c r="CS76" s="8">
        <f>(1+2*17+45)/4</f>
        <v>20</v>
      </c>
      <c r="CT76" s="11">
        <f>SQRT(((1-2*17+45)^2)/4 + (45-1)^2/12)</f>
        <v>14.047538337136986</v>
      </c>
      <c r="CU76" s="42">
        <v>53.5</v>
      </c>
      <c r="CV76" s="38">
        <v>9.8699999999999992</v>
      </c>
      <c r="CW76" s="42">
        <v>44.4</v>
      </c>
      <c r="CX76" s="42">
        <v>13</v>
      </c>
      <c r="CY76" s="27">
        <f t="shared" si="71"/>
        <v>47.686111111111103</v>
      </c>
      <c r="CZ76" s="28">
        <f t="shared" si="72"/>
        <v>12.620602040830535</v>
      </c>
      <c r="DA76" s="7">
        <v>8</v>
      </c>
      <c r="DB76" s="29">
        <f t="shared" si="73"/>
        <v>61.53846153846154</v>
      </c>
      <c r="DC76" s="8">
        <v>15</v>
      </c>
      <c r="DD76" s="29">
        <f t="shared" si="74"/>
        <v>65.217391304347828</v>
      </c>
      <c r="DE76" s="28">
        <f t="shared" si="75"/>
        <v>63.888888888888886</v>
      </c>
      <c r="DG76" s="6">
        <f t="shared" si="76"/>
        <v>36</v>
      </c>
      <c r="DH76" s="7" t="s">
        <v>237</v>
      </c>
      <c r="DI76" s="8">
        <v>23.1</v>
      </c>
      <c r="DJ76" s="8">
        <v>76.900000000000006</v>
      </c>
      <c r="DK76" s="7" t="s">
        <v>239</v>
      </c>
      <c r="DL76" s="7" t="s">
        <v>435</v>
      </c>
      <c r="DM76" s="7" t="s">
        <v>439</v>
      </c>
      <c r="DN76" s="7" t="s">
        <v>833</v>
      </c>
      <c r="DO76" s="7" t="s">
        <v>239</v>
      </c>
      <c r="DP76" s="11">
        <v>5</v>
      </c>
      <c r="DQ76" s="38">
        <v>3</v>
      </c>
      <c r="DR76" s="38">
        <v>6.5</v>
      </c>
      <c r="DS76" s="11">
        <f t="shared" si="78"/>
        <v>4.875</v>
      </c>
      <c r="DT76" s="11">
        <f t="shared" si="79"/>
        <v>1.0408329997330663</v>
      </c>
      <c r="JU76" s="7" t="s">
        <v>252</v>
      </c>
    </row>
    <row r="77" spans="1:281" s="64" customFormat="1" ht="20" customHeight="1" x14ac:dyDescent="0.2">
      <c r="A77" s="106">
        <v>218</v>
      </c>
      <c r="B77" s="71" t="s">
        <v>717</v>
      </c>
      <c r="C77" s="71" t="s">
        <v>428</v>
      </c>
      <c r="D77" s="71" t="s">
        <v>231</v>
      </c>
      <c r="E77" s="64">
        <v>20</v>
      </c>
      <c r="F77" s="64" t="s">
        <v>239</v>
      </c>
      <c r="G77" s="71" t="s">
        <v>237</v>
      </c>
      <c r="H77" s="71"/>
      <c r="I77" s="71"/>
      <c r="J77" s="71" t="s">
        <v>429</v>
      </c>
      <c r="K77" s="64">
        <v>2024</v>
      </c>
      <c r="L77" s="124" t="s">
        <v>430</v>
      </c>
      <c r="N77" s="71" t="s">
        <v>234</v>
      </c>
      <c r="O77" s="71" t="s">
        <v>437</v>
      </c>
      <c r="P77" s="108" t="s">
        <v>818</v>
      </c>
      <c r="Q77" s="108" t="s">
        <v>817</v>
      </c>
      <c r="R77" s="108"/>
      <c r="S77" s="108"/>
      <c r="T77" s="108"/>
      <c r="U77" s="108"/>
      <c r="V77" s="71" t="s">
        <v>367</v>
      </c>
      <c r="W77" s="71" t="s">
        <v>237</v>
      </c>
      <c r="X77" s="71" t="s">
        <v>411</v>
      </c>
      <c r="Y77" s="71" t="s">
        <v>827</v>
      </c>
      <c r="Z77" s="71" t="s">
        <v>239</v>
      </c>
      <c r="AA77" s="64">
        <v>2048</v>
      </c>
      <c r="AB77" s="71" t="s">
        <v>237</v>
      </c>
      <c r="AC77" s="71" t="s">
        <v>928</v>
      </c>
      <c r="AD77" s="71" t="s">
        <v>239</v>
      </c>
      <c r="AE77" s="71" t="s">
        <v>873</v>
      </c>
      <c r="AF77" s="71" t="s">
        <v>239</v>
      </c>
      <c r="AG77" s="71" t="s">
        <v>240</v>
      </c>
      <c r="AH77" s="71" t="s">
        <v>239</v>
      </c>
      <c r="AI77" s="71">
        <v>32</v>
      </c>
      <c r="AJ77" s="71" t="s">
        <v>797</v>
      </c>
      <c r="AK77" s="71" t="s">
        <v>239</v>
      </c>
      <c r="AL77" s="71" t="s">
        <v>432</v>
      </c>
      <c r="AM77" s="71" t="s">
        <v>259</v>
      </c>
      <c r="AN77" s="71" t="s">
        <v>324</v>
      </c>
      <c r="AO77" s="71"/>
      <c r="AP77" s="71"/>
      <c r="AQ77" s="71"/>
      <c r="AR77" s="64">
        <v>32</v>
      </c>
      <c r="AS77" s="71"/>
      <c r="AT77" s="71"/>
      <c r="AU77" s="71"/>
      <c r="AV77" s="71"/>
      <c r="AW77" s="64">
        <v>50</v>
      </c>
      <c r="AX77" s="71" t="s">
        <v>253</v>
      </c>
      <c r="AY77" s="71" t="s">
        <v>245</v>
      </c>
      <c r="BB77" s="71" t="s">
        <v>379</v>
      </c>
      <c r="BC77" s="65">
        <v>5.77</v>
      </c>
      <c r="BD77" s="114">
        <v>0.72299999999999998</v>
      </c>
      <c r="BE77" s="114"/>
      <c r="BF77" s="65">
        <v>6.51</v>
      </c>
      <c r="BG77" s="114">
        <v>0.6</v>
      </c>
      <c r="BH77" s="114"/>
      <c r="BP77" s="71" t="s">
        <v>240</v>
      </c>
      <c r="BR77" s="71" t="s">
        <v>262</v>
      </c>
      <c r="BT77" s="116">
        <v>30.8</v>
      </c>
      <c r="BU77" s="109">
        <v>4.4800000000000004</v>
      </c>
      <c r="BV77" s="116">
        <v>32.9</v>
      </c>
      <c r="BW77" s="109">
        <v>3.81</v>
      </c>
      <c r="BX77" s="116">
        <v>54.8</v>
      </c>
      <c r="BY77" s="109">
        <v>7.04</v>
      </c>
      <c r="BZ77" s="116">
        <v>54.9</v>
      </c>
      <c r="CA77" s="109">
        <v>5.84</v>
      </c>
      <c r="CG77" s="71" t="s">
        <v>239</v>
      </c>
      <c r="CH77" s="71" t="s">
        <v>239</v>
      </c>
      <c r="CJ77" s="71" t="s">
        <v>239</v>
      </c>
      <c r="CK77" s="71" t="s">
        <v>248</v>
      </c>
      <c r="CL77" s="64">
        <v>13</v>
      </c>
      <c r="CM77" s="64">
        <v>23</v>
      </c>
      <c r="CN77" s="71" t="s">
        <v>291</v>
      </c>
      <c r="CO77" s="71" t="s">
        <v>291</v>
      </c>
      <c r="CP77" s="71" t="s">
        <v>291</v>
      </c>
      <c r="CQ77" s="71" t="s">
        <v>438</v>
      </c>
      <c r="CR77" s="71" t="s">
        <v>434</v>
      </c>
      <c r="CS77" s="64">
        <f>(1+2*17+45)/4</f>
        <v>20</v>
      </c>
      <c r="CT77" s="65">
        <f>SQRT(((1-2*17+45)^2)/4 + (45-1)^2/12)</f>
        <v>14.047538337136986</v>
      </c>
      <c r="CU77" s="116">
        <v>53.5</v>
      </c>
      <c r="CV77" s="109">
        <v>9.8699999999999992</v>
      </c>
      <c r="CW77" s="116">
        <v>44.4</v>
      </c>
      <c r="CX77" s="116">
        <v>13</v>
      </c>
      <c r="CY77" s="79">
        <f t="shared" si="71"/>
        <v>47.686111111111103</v>
      </c>
      <c r="CZ77" s="80">
        <f t="shared" si="72"/>
        <v>12.620602040830535</v>
      </c>
      <c r="DA77" s="71">
        <v>8</v>
      </c>
      <c r="DB77" s="81">
        <f t="shared" si="73"/>
        <v>61.53846153846154</v>
      </c>
      <c r="DC77" s="64">
        <v>15</v>
      </c>
      <c r="DD77" s="81">
        <f t="shared" si="74"/>
        <v>65.217391304347828</v>
      </c>
      <c r="DE77" s="80">
        <f t="shared" si="75"/>
        <v>63.888888888888886</v>
      </c>
      <c r="DG77" s="70">
        <f t="shared" si="76"/>
        <v>36</v>
      </c>
      <c r="DH77" s="71" t="s">
        <v>237</v>
      </c>
      <c r="DI77" s="64">
        <v>23.1</v>
      </c>
      <c r="DJ77" s="64">
        <v>76.900000000000006</v>
      </c>
      <c r="DK77" s="71" t="s">
        <v>239</v>
      </c>
      <c r="DL77" s="71" t="s">
        <v>435</v>
      </c>
      <c r="DM77" s="71" t="s">
        <v>439</v>
      </c>
      <c r="DN77" s="71" t="s">
        <v>833</v>
      </c>
      <c r="DO77" s="71" t="s">
        <v>239</v>
      </c>
      <c r="DP77" s="65">
        <v>5</v>
      </c>
      <c r="DQ77" s="109">
        <v>3</v>
      </c>
      <c r="DR77" s="109">
        <v>6.5</v>
      </c>
      <c r="DS77" s="65">
        <f t="shared" si="78"/>
        <v>4.875</v>
      </c>
      <c r="DT77" s="65">
        <f t="shared" si="79"/>
        <v>1.0408329997330663</v>
      </c>
      <c r="JU77" s="71" t="s">
        <v>252</v>
      </c>
    </row>
    <row r="78" spans="1:281" s="97" customFormat="1" ht="20" customHeight="1" x14ac:dyDescent="0.2">
      <c r="A78" s="95"/>
      <c r="L78" s="148"/>
      <c r="P78" s="99"/>
      <c r="Q78" s="99"/>
      <c r="R78" s="99"/>
      <c r="S78" s="99"/>
      <c r="T78" s="99"/>
      <c r="U78" s="99"/>
    </row>
    <row r="79" spans="1:281" s="85" customFormat="1" ht="20" customHeight="1" x14ac:dyDescent="0.2">
      <c r="A79" s="83">
        <v>43</v>
      </c>
      <c r="B79" s="84" t="s">
        <v>718</v>
      </c>
      <c r="C79" s="84" t="s">
        <v>440</v>
      </c>
      <c r="D79" s="84" t="s">
        <v>231</v>
      </c>
      <c r="E79" s="85">
        <v>21</v>
      </c>
      <c r="F79" s="85" t="s">
        <v>239</v>
      </c>
      <c r="G79" s="84" t="s">
        <v>237</v>
      </c>
      <c r="H79" s="84">
        <v>24431465</v>
      </c>
      <c r="I79" s="84" t="s">
        <v>944</v>
      </c>
      <c r="J79" s="84" t="s">
        <v>441</v>
      </c>
      <c r="K79" s="85">
        <v>2014</v>
      </c>
      <c r="L79" s="119" t="s">
        <v>442</v>
      </c>
      <c r="N79" s="84" t="s">
        <v>264</v>
      </c>
      <c r="O79" s="84" t="s">
        <v>298</v>
      </c>
      <c r="P79" s="102" t="s">
        <v>819</v>
      </c>
      <c r="Q79" s="102" t="s">
        <v>1008</v>
      </c>
      <c r="R79" s="102"/>
      <c r="S79" s="102"/>
      <c r="T79" s="102"/>
      <c r="U79" s="102" t="s">
        <v>298</v>
      </c>
      <c r="V79" s="84" t="s">
        <v>236</v>
      </c>
      <c r="W79" s="84" t="s">
        <v>237</v>
      </c>
      <c r="X79" s="84" t="s">
        <v>284</v>
      </c>
      <c r="Y79" s="84" t="s">
        <v>828</v>
      </c>
      <c r="Z79" s="84" t="s">
        <v>237</v>
      </c>
      <c r="AB79" s="84" t="s">
        <v>239</v>
      </c>
      <c r="AC79" s="84" t="s">
        <v>929</v>
      </c>
      <c r="AD79" s="84" t="s">
        <v>239</v>
      </c>
      <c r="AE79" s="85" t="s">
        <v>560</v>
      </c>
      <c r="AF79" s="84" t="s">
        <v>239</v>
      </c>
      <c r="AG79" s="84" t="s">
        <v>240</v>
      </c>
      <c r="AH79" s="84" t="s">
        <v>239</v>
      </c>
      <c r="AI79" s="85">
        <v>30</v>
      </c>
      <c r="AK79" s="84" t="s">
        <v>239</v>
      </c>
      <c r="AL79" s="85">
        <v>6000</v>
      </c>
      <c r="AM79" s="84" t="s">
        <v>259</v>
      </c>
      <c r="AN79" s="84" t="s">
        <v>443</v>
      </c>
      <c r="AO79" s="84"/>
      <c r="AP79" s="84"/>
      <c r="AQ79" s="84"/>
      <c r="AR79" s="85">
        <v>144</v>
      </c>
      <c r="AS79" s="84"/>
      <c r="AT79" s="84"/>
      <c r="AU79" s="84"/>
      <c r="AV79" s="84"/>
      <c r="AX79" s="84" t="s">
        <v>253</v>
      </c>
      <c r="AY79" s="84" t="s">
        <v>245</v>
      </c>
      <c r="BB79" s="84" t="s">
        <v>246</v>
      </c>
      <c r="BC79" s="88">
        <v>4.08</v>
      </c>
      <c r="BD79" s="103">
        <v>1.1000000000000001</v>
      </c>
      <c r="BE79" s="103"/>
      <c r="BF79" s="85">
        <v>4.57</v>
      </c>
      <c r="BG79" s="103">
        <v>1.2</v>
      </c>
      <c r="BH79" s="103"/>
      <c r="BI79" s="84" t="s">
        <v>297</v>
      </c>
      <c r="BJ79" s="85">
        <v>2</v>
      </c>
      <c r="BK79" s="89" t="str">
        <f>IF(AND(BC79&lt;&gt;"",BF79&lt;&gt;""),IF(BC79&gt;BF79,"Case_greater_than_control","Control_greater_than_case"),"")</f>
        <v>Control_greater_than_case</v>
      </c>
      <c r="BP79" s="84" t="s">
        <v>237</v>
      </c>
      <c r="BR79" s="84" t="s">
        <v>262</v>
      </c>
      <c r="CG79" s="84" t="s">
        <v>239</v>
      </c>
      <c r="CH79" s="84" t="s">
        <v>240</v>
      </c>
      <c r="CJ79" s="84" t="s">
        <v>239</v>
      </c>
      <c r="CK79" s="84" t="s">
        <v>248</v>
      </c>
      <c r="CL79" s="85">
        <v>13</v>
      </c>
      <c r="CM79" s="85">
        <v>17</v>
      </c>
      <c r="CN79" s="84" t="s">
        <v>444</v>
      </c>
      <c r="CO79" s="84" t="s">
        <v>249</v>
      </c>
      <c r="CP79" s="84" t="s">
        <v>249</v>
      </c>
      <c r="CQ79" s="89" t="s">
        <v>445</v>
      </c>
      <c r="CU79" s="104">
        <v>43.6</v>
      </c>
      <c r="CV79" s="104">
        <v>9.6</v>
      </c>
      <c r="CW79" s="104">
        <v>39.700000000000003</v>
      </c>
      <c r="CX79" s="104">
        <v>11.1</v>
      </c>
      <c r="CY79" s="123">
        <f t="shared" ref="CY79:CY102" si="80">IF(OR(CU79="",CW79="",CL79="",CM79="",CL79+CM79=0),"",(CU79*CL79+CW79*CM79)/(CL79+CM79))</f>
        <v>41.390000000000008</v>
      </c>
      <c r="CZ79" s="93">
        <f t="shared" ref="CZ79:CZ102" si="81">IF(OR(CY79="",CV79="",CX79=""),"",SQRT(((CL79-1)*(CV79^2) + (CM79-1)*(CX79^2) + CL79*(CU79-CY79)^2 + CM79*(CW79-CY79)^2) / (CL79+CM79-1)))</f>
        <v>10.486982077959716</v>
      </c>
      <c r="DA79" s="84"/>
      <c r="DB79" s="94" t="str">
        <f t="shared" ref="DB79:DB102" si="82">IF(DA79="","",(DA79/CL79)*100)</f>
        <v/>
      </c>
      <c r="DC79" s="85">
        <v>6</v>
      </c>
      <c r="DD79" s="94">
        <f t="shared" ref="DD79:DD102" si="83">IF(DC79="","",(DC79/CM79)*100)</f>
        <v>35.294117647058826</v>
      </c>
      <c r="DE79" s="93" t="str">
        <f t="shared" ref="DE79:DE102" si="84">IF(AND(DA79&lt;&gt;"",DC79&lt;&gt;""),(DA79+DC79)/(CL79+CM79)*100,
   IF(AND(DB79&lt;&gt;"",DD79&lt;&gt;""),(DB79*CL79 + DD79*CM79)/(CL79+CM79),
   ""))</f>
        <v/>
      </c>
      <c r="DG79" s="85">
        <f>SUM(CL79,CM79)</f>
        <v>30</v>
      </c>
      <c r="DH79" s="84" t="s">
        <v>240</v>
      </c>
      <c r="DL79" s="89" t="s">
        <v>446</v>
      </c>
      <c r="DO79" s="84" t="s">
        <v>239</v>
      </c>
      <c r="DP79" s="120">
        <v>2.5</v>
      </c>
      <c r="DQ79" s="104">
        <v>1</v>
      </c>
      <c r="DR79" s="104">
        <v>6.5</v>
      </c>
      <c r="DS79" s="88">
        <f t="shared" si="78"/>
        <v>3.125</v>
      </c>
      <c r="DT79" s="88">
        <f t="shared" si="79"/>
        <v>2.0207259421636903</v>
      </c>
      <c r="EW79" s="85">
        <v>57.7</v>
      </c>
      <c r="EX79" s="85">
        <v>9</v>
      </c>
      <c r="EY79" s="103">
        <v>47.2</v>
      </c>
      <c r="EZ79" s="103">
        <v>9.3000000000000007</v>
      </c>
      <c r="FA79" s="103"/>
      <c r="FB79" s="103"/>
      <c r="FG79" s="103"/>
      <c r="FH79" s="103"/>
      <c r="FI79" s="103">
        <v>101.7</v>
      </c>
      <c r="FJ79" s="103">
        <v>12.3</v>
      </c>
      <c r="FK79" s="103">
        <v>141.5</v>
      </c>
      <c r="FL79" s="103">
        <v>51.2</v>
      </c>
      <c r="GQ79" s="103"/>
      <c r="GR79" s="103"/>
      <c r="GS79" s="103">
        <v>18.399999999999999</v>
      </c>
      <c r="GT79" s="103">
        <v>3.1</v>
      </c>
      <c r="GU79" s="103">
        <v>17.3</v>
      </c>
      <c r="GV79" s="103">
        <v>3.5</v>
      </c>
      <c r="GY79" s="103"/>
      <c r="GZ79" s="103"/>
      <c r="HA79" s="103"/>
      <c r="HB79" s="103"/>
      <c r="IM79" s="103"/>
      <c r="IN79" s="103"/>
      <c r="IO79" s="103">
        <v>2.7</v>
      </c>
      <c r="IP79" s="103">
        <v>3.5</v>
      </c>
      <c r="IQ79" s="103">
        <v>3.1</v>
      </c>
      <c r="IR79" s="103">
        <v>2.2000000000000002</v>
      </c>
      <c r="IS79" s="103">
        <v>5.3</v>
      </c>
      <c r="IT79" s="103">
        <v>2.8</v>
      </c>
      <c r="IU79" s="85">
        <v>6.2</v>
      </c>
      <c r="IV79" s="85">
        <v>3.9</v>
      </c>
      <c r="JU79" s="84" t="s">
        <v>252</v>
      </c>
    </row>
    <row r="80" spans="1:281" s="8" customFormat="1" ht="20" customHeight="1" x14ac:dyDescent="0.2">
      <c r="A80" s="35">
        <v>43</v>
      </c>
      <c r="B80" s="7" t="s">
        <v>719</v>
      </c>
      <c r="C80" s="7" t="s">
        <v>440</v>
      </c>
      <c r="D80" s="7" t="s">
        <v>231</v>
      </c>
      <c r="E80" s="8">
        <v>21</v>
      </c>
      <c r="F80" s="8" t="s">
        <v>239</v>
      </c>
      <c r="G80" s="7" t="s">
        <v>237</v>
      </c>
      <c r="H80" s="7">
        <v>24431465</v>
      </c>
      <c r="I80" s="7" t="s">
        <v>945</v>
      </c>
      <c r="J80" s="7" t="s">
        <v>441</v>
      </c>
      <c r="K80" s="8">
        <v>2014</v>
      </c>
      <c r="L80" s="12" t="s">
        <v>442</v>
      </c>
      <c r="N80" s="7" t="s">
        <v>264</v>
      </c>
      <c r="O80" s="7" t="s">
        <v>298</v>
      </c>
      <c r="P80" s="37" t="s">
        <v>819</v>
      </c>
      <c r="Q80" s="37" t="s">
        <v>1008</v>
      </c>
      <c r="R80" s="37"/>
      <c r="S80" s="37"/>
      <c r="T80" s="37"/>
      <c r="U80" s="37" t="s">
        <v>298</v>
      </c>
      <c r="V80" s="7" t="s">
        <v>236</v>
      </c>
      <c r="W80" s="7" t="s">
        <v>237</v>
      </c>
      <c r="X80" s="7" t="s">
        <v>284</v>
      </c>
      <c r="Y80" s="7" t="s">
        <v>828</v>
      </c>
      <c r="Z80" s="7" t="s">
        <v>237</v>
      </c>
      <c r="AB80" s="7" t="s">
        <v>239</v>
      </c>
      <c r="AC80" s="7" t="s">
        <v>929</v>
      </c>
      <c r="AD80" s="7" t="s">
        <v>239</v>
      </c>
      <c r="AE80" s="8" t="s">
        <v>560</v>
      </c>
      <c r="AF80" s="7" t="s">
        <v>239</v>
      </c>
      <c r="AG80" s="7" t="s">
        <v>240</v>
      </c>
      <c r="AH80" s="7" t="s">
        <v>239</v>
      </c>
      <c r="AI80" s="8">
        <v>30</v>
      </c>
      <c r="AK80" s="7" t="s">
        <v>239</v>
      </c>
      <c r="AL80" s="8">
        <v>6000</v>
      </c>
      <c r="AM80" s="7" t="s">
        <v>259</v>
      </c>
      <c r="AN80" s="7" t="s">
        <v>443</v>
      </c>
      <c r="AO80" s="7"/>
      <c r="AP80" s="7"/>
      <c r="AQ80" s="7"/>
      <c r="AR80" s="8">
        <v>144</v>
      </c>
      <c r="AT80" s="7"/>
      <c r="AU80" s="7"/>
      <c r="AV80" s="7"/>
      <c r="AX80" s="7" t="s">
        <v>253</v>
      </c>
      <c r="AY80" s="7" t="s">
        <v>245</v>
      </c>
      <c r="BB80" s="7" t="s">
        <v>246</v>
      </c>
      <c r="BC80" s="11">
        <v>3.16</v>
      </c>
      <c r="BD80" s="41">
        <v>0.3</v>
      </c>
      <c r="BE80" s="41"/>
      <c r="BF80" s="11">
        <v>4.57</v>
      </c>
      <c r="BG80" s="41">
        <v>1.2</v>
      </c>
      <c r="BH80" s="41"/>
      <c r="BI80" s="7" t="s">
        <v>297</v>
      </c>
      <c r="BJ80" s="8">
        <v>2</v>
      </c>
      <c r="BK80" s="5" t="str">
        <f t="shared" ref="BK80:BK102" si="85">IF(AND(BC80&lt;&gt;"",BF80&lt;&gt;""),IF(BC80&gt;BF80,"Case_greater_than_control","Control_greater_than_case"),"")</f>
        <v>Control_greater_than_case</v>
      </c>
      <c r="BP80" s="7" t="s">
        <v>237</v>
      </c>
      <c r="BR80" s="7" t="s">
        <v>262</v>
      </c>
      <c r="CG80" s="7" t="s">
        <v>239</v>
      </c>
      <c r="CH80" s="7" t="s">
        <v>240</v>
      </c>
      <c r="CJ80" s="7" t="s">
        <v>239</v>
      </c>
      <c r="CK80" s="7" t="s">
        <v>248</v>
      </c>
      <c r="CL80" s="8">
        <v>5</v>
      </c>
      <c r="CM80" s="8">
        <v>17</v>
      </c>
      <c r="CN80" s="7" t="s">
        <v>447</v>
      </c>
      <c r="CO80" s="7" t="s">
        <v>249</v>
      </c>
      <c r="CP80" s="7" t="s">
        <v>249</v>
      </c>
      <c r="CQ80" s="5" t="s">
        <v>448</v>
      </c>
      <c r="CU80" s="7">
        <v>43.2</v>
      </c>
      <c r="CV80" s="7">
        <v>4.7</v>
      </c>
      <c r="CW80" s="7">
        <v>39.700000000000003</v>
      </c>
      <c r="CX80" s="42">
        <v>11.1</v>
      </c>
      <c r="CY80" s="27">
        <f t="shared" si="80"/>
        <v>40.49545454545455</v>
      </c>
      <c r="CZ80" s="28">
        <f t="shared" si="81"/>
        <v>10.016770569434673</v>
      </c>
      <c r="DA80" s="7"/>
      <c r="DB80" s="29" t="str">
        <f t="shared" si="82"/>
        <v/>
      </c>
      <c r="DC80" s="8">
        <v>6</v>
      </c>
      <c r="DD80" s="29">
        <f t="shared" si="83"/>
        <v>35.294117647058826</v>
      </c>
      <c r="DE80" s="28" t="str">
        <f t="shared" si="84"/>
        <v/>
      </c>
      <c r="DG80" s="8">
        <f t="shared" ref="DG80:DG102" si="86">SUM(CL80,CM80)</f>
        <v>22</v>
      </c>
      <c r="DH80" s="7" t="s">
        <v>240</v>
      </c>
      <c r="DL80" s="5" t="s">
        <v>446</v>
      </c>
      <c r="DO80" s="7" t="s">
        <v>239</v>
      </c>
      <c r="DP80" s="44">
        <v>3.5</v>
      </c>
      <c r="DQ80" s="42">
        <v>2.5</v>
      </c>
      <c r="DR80" s="42">
        <v>6.5</v>
      </c>
      <c r="DS80" s="11">
        <f t="shared" si="78"/>
        <v>4</v>
      </c>
      <c r="DT80" s="11">
        <f t="shared" si="79"/>
        <v>1.5275252316519465</v>
      </c>
      <c r="EW80" s="8">
        <v>57.7</v>
      </c>
      <c r="EX80" s="8">
        <v>9</v>
      </c>
      <c r="EY80" s="41">
        <v>47.2</v>
      </c>
      <c r="EZ80" s="41">
        <v>9.3000000000000007</v>
      </c>
      <c r="FA80" s="41"/>
      <c r="FB80" s="41"/>
      <c r="FG80" s="41"/>
      <c r="FH80" s="41"/>
      <c r="FI80" s="41">
        <v>101.7</v>
      </c>
      <c r="FJ80" s="41">
        <v>12.3</v>
      </c>
      <c r="FK80" s="41">
        <v>170.4</v>
      </c>
      <c r="FL80" s="41">
        <v>41</v>
      </c>
      <c r="GQ80" s="41"/>
      <c r="GR80" s="41"/>
      <c r="GS80" s="41">
        <v>18.399999999999999</v>
      </c>
      <c r="GT80" s="41">
        <v>3.1</v>
      </c>
      <c r="GU80" s="41">
        <v>14.6</v>
      </c>
      <c r="GV80" s="41">
        <v>1.3</v>
      </c>
      <c r="GY80" s="41"/>
      <c r="GZ80" s="41"/>
      <c r="HA80" s="41"/>
      <c r="HB80" s="41"/>
      <c r="IM80" s="41"/>
      <c r="IN80" s="41"/>
      <c r="IO80" s="41">
        <v>2.7</v>
      </c>
      <c r="IP80" s="41">
        <v>3.5</v>
      </c>
      <c r="IQ80" s="41">
        <v>6</v>
      </c>
      <c r="IR80" s="41">
        <v>4.5999999999999996</v>
      </c>
      <c r="IS80" s="41">
        <v>5.3</v>
      </c>
      <c r="IT80" s="41">
        <v>2.8</v>
      </c>
      <c r="IU80" s="8">
        <v>3.6</v>
      </c>
      <c r="IV80" s="8">
        <v>3.6</v>
      </c>
      <c r="JU80" s="7" t="s">
        <v>252</v>
      </c>
    </row>
    <row r="81" spans="1:281" s="8" customFormat="1" ht="20" customHeight="1" x14ac:dyDescent="0.2">
      <c r="A81" s="35">
        <v>43</v>
      </c>
      <c r="B81" s="7" t="s">
        <v>720</v>
      </c>
      <c r="C81" s="7" t="s">
        <v>440</v>
      </c>
      <c r="D81" s="7" t="s">
        <v>231</v>
      </c>
      <c r="E81" s="8">
        <v>21</v>
      </c>
      <c r="F81" s="8" t="s">
        <v>237</v>
      </c>
      <c r="G81" s="7" t="s">
        <v>237</v>
      </c>
      <c r="H81" s="7">
        <v>24431465</v>
      </c>
      <c r="I81" s="7" t="s">
        <v>946</v>
      </c>
      <c r="J81" s="7" t="s">
        <v>441</v>
      </c>
      <c r="K81" s="8">
        <v>2014</v>
      </c>
      <c r="L81" s="12" t="s">
        <v>442</v>
      </c>
      <c r="N81" s="7" t="s">
        <v>264</v>
      </c>
      <c r="O81" s="7" t="s">
        <v>298</v>
      </c>
      <c r="P81" s="37" t="s">
        <v>819</v>
      </c>
      <c r="Q81" s="37" t="s">
        <v>1008</v>
      </c>
      <c r="R81" s="37"/>
      <c r="S81" s="37"/>
      <c r="T81" s="37"/>
      <c r="U81" s="37" t="s">
        <v>298</v>
      </c>
      <c r="V81" s="7" t="s">
        <v>236</v>
      </c>
      <c r="W81" s="7" t="s">
        <v>237</v>
      </c>
      <c r="X81" s="7" t="s">
        <v>284</v>
      </c>
      <c r="Y81" s="7" t="s">
        <v>828</v>
      </c>
      <c r="Z81" s="7" t="s">
        <v>237</v>
      </c>
      <c r="AB81" s="7" t="s">
        <v>239</v>
      </c>
      <c r="AC81" s="7" t="s">
        <v>929</v>
      </c>
      <c r="AD81" s="7" t="s">
        <v>239</v>
      </c>
      <c r="AE81" s="8" t="s">
        <v>560</v>
      </c>
      <c r="AF81" s="7" t="s">
        <v>239</v>
      </c>
      <c r="AG81" s="7" t="s">
        <v>240</v>
      </c>
      <c r="AH81" s="7" t="s">
        <v>239</v>
      </c>
      <c r="AI81" s="8">
        <v>30</v>
      </c>
      <c r="AK81" s="7" t="s">
        <v>239</v>
      </c>
      <c r="AL81" s="8">
        <v>6000</v>
      </c>
      <c r="AM81" s="7" t="s">
        <v>259</v>
      </c>
      <c r="AN81" s="7" t="s">
        <v>443</v>
      </c>
      <c r="AO81" s="7"/>
      <c r="AP81" s="7"/>
      <c r="AQ81" s="7"/>
      <c r="AR81" s="8">
        <v>144</v>
      </c>
      <c r="AS81" s="38">
        <v>9.85</v>
      </c>
      <c r="AT81" s="42">
        <v>3.8</v>
      </c>
      <c r="AU81" s="38">
        <v>8.85</v>
      </c>
      <c r="AV81" s="42">
        <v>2.5</v>
      </c>
      <c r="AX81" s="7" t="s">
        <v>253</v>
      </c>
      <c r="AY81" s="7" t="s">
        <v>245</v>
      </c>
      <c r="BB81" s="7" t="s">
        <v>246</v>
      </c>
      <c r="BC81" s="11">
        <v>3.94</v>
      </c>
      <c r="BD81" s="41">
        <v>1.1000000000000001</v>
      </c>
      <c r="BE81" s="41"/>
      <c r="BF81" s="11">
        <v>4.57</v>
      </c>
      <c r="BG81" s="41">
        <v>1.2</v>
      </c>
      <c r="BH81" s="41"/>
      <c r="BI81" s="38">
        <v>0.1</v>
      </c>
      <c r="BJ81" s="8">
        <v>2</v>
      </c>
      <c r="BK81" s="5" t="str">
        <f t="shared" si="85"/>
        <v>Control_greater_than_case</v>
      </c>
      <c r="BP81" s="7" t="s">
        <v>237</v>
      </c>
      <c r="BR81" s="7" t="s">
        <v>262</v>
      </c>
      <c r="CG81" s="7" t="s">
        <v>239</v>
      </c>
      <c r="CH81" s="7" t="s">
        <v>240</v>
      </c>
      <c r="CJ81" s="7" t="s">
        <v>239</v>
      </c>
      <c r="CK81" s="7" t="s">
        <v>248</v>
      </c>
      <c r="CL81" s="8">
        <v>18</v>
      </c>
      <c r="CM81" s="8">
        <v>17</v>
      </c>
      <c r="CN81" s="7" t="s">
        <v>249</v>
      </c>
      <c r="CO81" s="7" t="s">
        <v>249</v>
      </c>
      <c r="CP81" s="7" t="s">
        <v>249</v>
      </c>
      <c r="CQ81" s="5" t="s">
        <v>445</v>
      </c>
      <c r="CU81" s="42">
        <v>43.5</v>
      </c>
      <c r="CV81" s="42">
        <v>8.5</v>
      </c>
      <c r="CW81" s="7">
        <v>39.700000000000003</v>
      </c>
      <c r="CX81" s="42">
        <v>11.1</v>
      </c>
      <c r="CY81" s="27">
        <f t="shared" si="80"/>
        <v>41.65428571428572</v>
      </c>
      <c r="CZ81" s="28">
        <f t="shared" si="81"/>
        <v>9.8903649744451325</v>
      </c>
      <c r="DA81" s="7">
        <v>6</v>
      </c>
      <c r="DB81" s="29">
        <f t="shared" si="82"/>
        <v>33.333333333333329</v>
      </c>
      <c r="DC81" s="8">
        <v>6</v>
      </c>
      <c r="DD81" s="29">
        <f t="shared" si="83"/>
        <v>35.294117647058826</v>
      </c>
      <c r="DE81" s="28">
        <f t="shared" si="84"/>
        <v>34.285714285714285</v>
      </c>
      <c r="DG81" s="8">
        <f t="shared" si="86"/>
        <v>35</v>
      </c>
      <c r="DH81" s="7" t="s">
        <v>240</v>
      </c>
      <c r="DL81" s="5" t="s">
        <v>446</v>
      </c>
      <c r="DO81" s="7" t="s">
        <v>239</v>
      </c>
      <c r="DP81" s="44">
        <v>3.25</v>
      </c>
      <c r="DQ81" s="42">
        <v>1</v>
      </c>
      <c r="DR81" s="42">
        <v>6.5</v>
      </c>
      <c r="DS81" s="11">
        <f t="shared" si="78"/>
        <v>3.5</v>
      </c>
      <c r="DT81" s="11">
        <f t="shared" si="79"/>
        <v>1.6645820296198484</v>
      </c>
      <c r="EW81" s="8">
        <v>57.7</v>
      </c>
      <c r="EX81" s="8">
        <v>9</v>
      </c>
      <c r="EY81" s="41">
        <v>47.2</v>
      </c>
      <c r="EZ81" s="41">
        <v>9.3000000000000007</v>
      </c>
      <c r="FA81" s="41"/>
      <c r="FB81" s="41"/>
      <c r="FG81" s="41"/>
      <c r="FH81" s="41"/>
      <c r="FI81" s="41">
        <v>101.7</v>
      </c>
      <c r="FJ81" s="41">
        <v>12.3</v>
      </c>
      <c r="FK81" s="41">
        <v>150.5</v>
      </c>
      <c r="FL81" s="41">
        <v>49.2</v>
      </c>
      <c r="GQ81" s="41"/>
      <c r="GR81" s="41"/>
      <c r="GS81" s="41">
        <v>18.399999999999999</v>
      </c>
      <c r="GT81" s="41">
        <v>3.1</v>
      </c>
      <c r="GU81" s="41">
        <v>16.600000000000001</v>
      </c>
      <c r="GV81" s="41">
        <v>3.3</v>
      </c>
      <c r="GY81" s="41"/>
      <c r="GZ81" s="41"/>
      <c r="HA81" s="41"/>
      <c r="HB81" s="41"/>
      <c r="IM81" s="41"/>
      <c r="IN81" s="41"/>
      <c r="IO81" s="41">
        <v>2.7</v>
      </c>
      <c r="IP81" s="41">
        <v>3.5</v>
      </c>
      <c r="IQ81" s="41">
        <v>3.9</v>
      </c>
      <c r="IR81" s="41">
        <v>3.2</v>
      </c>
      <c r="IS81" s="41">
        <v>5.3</v>
      </c>
      <c r="IT81" s="41">
        <v>2.8</v>
      </c>
      <c r="IU81" s="8">
        <v>5.4</v>
      </c>
      <c r="IV81" s="8">
        <v>3.9</v>
      </c>
      <c r="JU81" s="7" t="s">
        <v>252</v>
      </c>
    </row>
    <row r="82" spans="1:281" s="8" customFormat="1" ht="20" customHeight="1" x14ac:dyDescent="0.2">
      <c r="A82" s="35">
        <v>43</v>
      </c>
      <c r="B82" s="7" t="s">
        <v>721</v>
      </c>
      <c r="C82" s="7" t="s">
        <v>440</v>
      </c>
      <c r="D82" s="7" t="s">
        <v>231</v>
      </c>
      <c r="E82" s="8">
        <v>21</v>
      </c>
      <c r="F82" s="8" t="s">
        <v>237</v>
      </c>
      <c r="G82" s="7" t="s">
        <v>237</v>
      </c>
      <c r="H82" s="7">
        <v>24431465</v>
      </c>
      <c r="I82" s="7" t="s">
        <v>947</v>
      </c>
      <c r="J82" s="7" t="s">
        <v>441</v>
      </c>
      <c r="K82" s="8">
        <v>2014</v>
      </c>
      <c r="L82" s="12" t="s">
        <v>442</v>
      </c>
      <c r="N82" s="7" t="s">
        <v>264</v>
      </c>
      <c r="O82" s="7" t="s">
        <v>298</v>
      </c>
      <c r="P82" s="37" t="s">
        <v>819</v>
      </c>
      <c r="Q82" s="37" t="s">
        <v>1008</v>
      </c>
      <c r="R82" s="37"/>
      <c r="S82" s="37"/>
      <c r="T82" s="37"/>
      <c r="U82" s="37" t="s">
        <v>298</v>
      </c>
      <c r="V82" s="7" t="s">
        <v>236</v>
      </c>
      <c r="W82" s="7" t="s">
        <v>237</v>
      </c>
      <c r="X82" s="7" t="s">
        <v>284</v>
      </c>
      <c r="Y82" s="7" t="s">
        <v>828</v>
      </c>
      <c r="Z82" s="7" t="s">
        <v>237</v>
      </c>
      <c r="AB82" s="7" t="s">
        <v>239</v>
      </c>
      <c r="AC82" s="7" t="s">
        <v>929</v>
      </c>
      <c r="AD82" s="7" t="s">
        <v>239</v>
      </c>
      <c r="AE82" s="8" t="s">
        <v>560</v>
      </c>
      <c r="AF82" s="7" t="s">
        <v>239</v>
      </c>
      <c r="AG82" s="7" t="s">
        <v>240</v>
      </c>
      <c r="AH82" s="7" t="s">
        <v>239</v>
      </c>
      <c r="AI82" s="8">
        <v>30</v>
      </c>
      <c r="AK82" s="7" t="s">
        <v>239</v>
      </c>
      <c r="AL82" s="8">
        <v>6000</v>
      </c>
      <c r="AM82" s="7" t="s">
        <v>259</v>
      </c>
      <c r="AN82" s="7" t="s">
        <v>443</v>
      </c>
      <c r="AO82" s="7"/>
      <c r="AP82" s="7"/>
      <c r="AQ82" s="7"/>
      <c r="AR82" s="8">
        <v>144</v>
      </c>
      <c r="AS82" s="7"/>
      <c r="AT82" s="7"/>
      <c r="AU82" s="7"/>
      <c r="AV82" s="7"/>
      <c r="AX82" s="7" t="s">
        <v>244</v>
      </c>
      <c r="AY82" s="7" t="s">
        <v>245</v>
      </c>
      <c r="BB82" s="7" t="s">
        <v>246</v>
      </c>
      <c r="BC82" s="11">
        <v>4.74</v>
      </c>
      <c r="BD82" s="41">
        <v>1.6</v>
      </c>
      <c r="BE82" s="41"/>
      <c r="BF82" s="11">
        <v>5.18</v>
      </c>
      <c r="BG82" s="41">
        <v>1.5</v>
      </c>
      <c r="BH82" s="41"/>
      <c r="BI82" s="7" t="s">
        <v>297</v>
      </c>
      <c r="BJ82" s="8">
        <v>2</v>
      </c>
      <c r="BK82" s="5" t="str">
        <f t="shared" si="85"/>
        <v>Control_greater_than_case</v>
      </c>
      <c r="BP82" s="7" t="s">
        <v>237</v>
      </c>
      <c r="BR82" s="7" t="s">
        <v>262</v>
      </c>
      <c r="CG82" s="7" t="s">
        <v>239</v>
      </c>
      <c r="CH82" s="7" t="s">
        <v>240</v>
      </c>
      <c r="CJ82" s="7" t="s">
        <v>239</v>
      </c>
      <c r="CK82" s="7" t="s">
        <v>248</v>
      </c>
      <c r="CL82" s="8">
        <v>13</v>
      </c>
      <c r="CM82" s="8">
        <v>17</v>
      </c>
      <c r="CN82" s="7" t="s">
        <v>444</v>
      </c>
      <c r="CO82" s="7" t="s">
        <v>249</v>
      </c>
      <c r="CP82" s="7" t="s">
        <v>249</v>
      </c>
      <c r="CQ82" s="5" t="s">
        <v>445</v>
      </c>
      <c r="CU82" s="42">
        <v>43.6</v>
      </c>
      <c r="CV82" s="42">
        <v>9.6</v>
      </c>
      <c r="CW82" s="42">
        <v>39.700000000000003</v>
      </c>
      <c r="CX82" s="42">
        <v>11.1</v>
      </c>
      <c r="CY82" s="27">
        <f t="shared" si="80"/>
        <v>41.390000000000008</v>
      </c>
      <c r="CZ82" s="28">
        <f t="shared" si="81"/>
        <v>10.486982077959716</v>
      </c>
      <c r="DA82" s="7"/>
      <c r="DB82" s="29" t="str">
        <f t="shared" si="82"/>
        <v/>
      </c>
      <c r="DC82" s="8">
        <v>6</v>
      </c>
      <c r="DD82" s="29">
        <f t="shared" si="83"/>
        <v>35.294117647058826</v>
      </c>
      <c r="DE82" s="28" t="str">
        <f t="shared" si="84"/>
        <v/>
      </c>
      <c r="DG82" s="8">
        <f t="shared" si="86"/>
        <v>30</v>
      </c>
      <c r="DH82" s="7" t="s">
        <v>240</v>
      </c>
      <c r="DL82" s="5" t="s">
        <v>446</v>
      </c>
      <c r="DO82" s="7" t="s">
        <v>239</v>
      </c>
      <c r="DP82" s="44">
        <v>2.5</v>
      </c>
      <c r="DQ82" s="42">
        <v>1</v>
      </c>
      <c r="DR82" s="42">
        <v>6.5</v>
      </c>
      <c r="DS82" s="11">
        <f t="shared" si="78"/>
        <v>3.125</v>
      </c>
      <c r="DT82" s="11">
        <f t="shared" si="79"/>
        <v>2.0207259421636903</v>
      </c>
      <c r="EW82" s="8">
        <v>57.7</v>
      </c>
      <c r="EX82" s="8">
        <v>9</v>
      </c>
      <c r="EY82" s="41">
        <v>47.2</v>
      </c>
      <c r="EZ82" s="41">
        <v>9.3000000000000007</v>
      </c>
      <c r="FA82" s="41"/>
      <c r="FB82" s="41"/>
      <c r="FG82" s="41"/>
      <c r="FH82" s="41"/>
      <c r="FI82" s="41">
        <v>101.7</v>
      </c>
      <c r="FJ82" s="41">
        <v>12.3</v>
      </c>
      <c r="FK82" s="41">
        <v>141.5</v>
      </c>
      <c r="FL82" s="41">
        <v>51.2</v>
      </c>
      <c r="GQ82" s="41"/>
      <c r="GR82" s="41"/>
      <c r="GS82" s="41">
        <v>18.399999999999999</v>
      </c>
      <c r="GT82" s="41">
        <v>3.1</v>
      </c>
      <c r="GU82" s="41">
        <v>17.3</v>
      </c>
      <c r="GV82" s="41">
        <v>3.5</v>
      </c>
      <c r="GY82" s="41"/>
      <c r="GZ82" s="41"/>
      <c r="HA82" s="41"/>
      <c r="HB82" s="41"/>
      <c r="IM82" s="41"/>
      <c r="IN82" s="41"/>
      <c r="IO82" s="41">
        <v>2.7</v>
      </c>
      <c r="IP82" s="41">
        <v>3.5</v>
      </c>
      <c r="IQ82" s="41">
        <v>3.1</v>
      </c>
      <c r="IR82" s="41">
        <v>2.2000000000000002</v>
      </c>
      <c r="IS82" s="41">
        <v>5.3</v>
      </c>
      <c r="IT82" s="41">
        <v>2.8</v>
      </c>
      <c r="IU82" s="8">
        <v>6.2</v>
      </c>
      <c r="IV82" s="8">
        <v>3.9</v>
      </c>
      <c r="JU82" s="7" t="s">
        <v>252</v>
      </c>
    </row>
    <row r="83" spans="1:281" s="8" customFormat="1" ht="20" customHeight="1" x14ac:dyDescent="0.2">
      <c r="A83" s="35">
        <v>43</v>
      </c>
      <c r="B83" s="7" t="s">
        <v>722</v>
      </c>
      <c r="C83" s="7" t="s">
        <v>440</v>
      </c>
      <c r="D83" s="7" t="s">
        <v>231</v>
      </c>
      <c r="E83" s="8">
        <v>21</v>
      </c>
      <c r="F83" s="8" t="s">
        <v>237</v>
      </c>
      <c r="G83" s="7" t="s">
        <v>237</v>
      </c>
      <c r="H83" s="7">
        <v>24431465</v>
      </c>
      <c r="I83" s="7" t="s">
        <v>948</v>
      </c>
      <c r="J83" s="7" t="s">
        <v>441</v>
      </c>
      <c r="K83" s="8">
        <v>2014</v>
      </c>
      <c r="L83" s="12" t="s">
        <v>442</v>
      </c>
      <c r="N83" s="7" t="s">
        <v>264</v>
      </c>
      <c r="O83" s="7" t="s">
        <v>298</v>
      </c>
      <c r="P83" s="37" t="s">
        <v>819</v>
      </c>
      <c r="Q83" s="37" t="s">
        <v>1008</v>
      </c>
      <c r="R83" s="37"/>
      <c r="S83" s="37"/>
      <c r="T83" s="37"/>
      <c r="U83" s="37" t="s">
        <v>298</v>
      </c>
      <c r="V83" s="7" t="s">
        <v>236</v>
      </c>
      <c r="W83" s="7" t="s">
        <v>237</v>
      </c>
      <c r="X83" s="7" t="s">
        <v>284</v>
      </c>
      <c r="Y83" s="7" t="s">
        <v>828</v>
      </c>
      <c r="Z83" s="7" t="s">
        <v>237</v>
      </c>
      <c r="AB83" s="7" t="s">
        <v>239</v>
      </c>
      <c r="AC83" s="7" t="s">
        <v>929</v>
      </c>
      <c r="AD83" s="7" t="s">
        <v>239</v>
      </c>
      <c r="AE83" s="8" t="s">
        <v>560</v>
      </c>
      <c r="AF83" s="7" t="s">
        <v>239</v>
      </c>
      <c r="AG83" s="7" t="s">
        <v>240</v>
      </c>
      <c r="AH83" s="7" t="s">
        <v>239</v>
      </c>
      <c r="AI83" s="8">
        <v>30</v>
      </c>
      <c r="AK83" s="7" t="s">
        <v>239</v>
      </c>
      <c r="AL83" s="8">
        <v>6000</v>
      </c>
      <c r="AM83" s="7" t="s">
        <v>259</v>
      </c>
      <c r="AN83" s="7" t="s">
        <v>443</v>
      </c>
      <c r="AO83" s="7"/>
      <c r="AP83" s="7"/>
      <c r="AQ83" s="7"/>
      <c r="AR83" s="8">
        <v>144</v>
      </c>
      <c r="AS83" s="7"/>
      <c r="AT83" s="7"/>
      <c r="AU83" s="7"/>
      <c r="AV83" s="7"/>
      <c r="AX83" s="7" t="s">
        <v>244</v>
      </c>
      <c r="AY83" s="7" t="s">
        <v>245</v>
      </c>
      <c r="BB83" s="7" t="s">
        <v>246</v>
      </c>
      <c r="BC83" s="11">
        <v>3.86</v>
      </c>
      <c r="BD83" s="11">
        <v>0.04</v>
      </c>
      <c r="BE83" s="11"/>
      <c r="BF83" s="11">
        <v>5.18</v>
      </c>
      <c r="BG83" s="41">
        <v>1.5</v>
      </c>
      <c r="BH83" s="41"/>
      <c r="BI83" s="7" t="s">
        <v>297</v>
      </c>
      <c r="BJ83" s="8">
        <v>2</v>
      </c>
      <c r="BK83" s="5" t="str">
        <f t="shared" si="85"/>
        <v>Control_greater_than_case</v>
      </c>
      <c r="BP83" s="7" t="s">
        <v>237</v>
      </c>
      <c r="BR83" s="7" t="s">
        <v>262</v>
      </c>
      <c r="CG83" s="7" t="s">
        <v>239</v>
      </c>
      <c r="CH83" s="7" t="s">
        <v>240</v>
      </c>
      <c r="CJ83" s="7" t="s">
        <v>239</v>
      </c>
      <c r="CK83" s="7" t="s">
        <v>248</v>
      </c>
      <c r="CL83" s="8">
        <v>5</v>
      </c>
      <c r="CM83" s="8">
        <v>17</v>
      </c>
      <c r="CN83" s="7" t="s">
        <v>447</v>
      </c>
      <c r="CO83" s="7" t="s">
        <v>249</v>
      </c>
      <c r="CP83" s="7" t="s">
        <v>249</v>
      </c>
      <c r="CQ83" s="5" t="s">
        <v>448</v>
      </c>
      <c r="CU83" s="42">
        <v>43.2</v>
      </c>
      <c r="CV83" s="42">
        <v>4.7</v>
      </c>
      <c r="CW83" s="42">
        <v>39.700000000000003</v>
      </c>
      <c r="CX83" s="42">
        <v>11.1</v>
      </c>
      <c r="CY83" s="27">
        <f t="shared" si="80"/>
        <v>40.49545454545455</v>
      </c>
      <c r="CZ83" s="28">
        <f t="shared" si="81"/>
        <v>10.016770569434673</v>
      </c>
      <c r="DA83" s="7"/>
      <c r="DB83" s="29" t="str">
        <f t="shared" si="82"/>
        <v/>
      </c>
      <c r="DC83" s="8">
        <v>6</v>
      </c>
      <c r="DD83" s="29">
        <f t="shared" si="83"/>
        <v>35.294117647058826</v>
      </c>
      <c r="DE83" s="28" t="str">
        <f t="shared" si="84"/>
        <v/>
      </c>
      <c r="DG83" s="8">
        <f t="shared" si="86"/>
        <v>22</v>
      </c>
      <c r="DH83" s="7" t="s">
        <v>240</v>
      </c>
      <c r="DL83" s="5" t="s">
        <v>446</v>
      </c>
      <c r="DO83" s="7" t="s">
        <v>239</v>
      </c>
      <c r="DP83" s="44">
        <v>3.5</v>
      </c>
      <c r="DQ83" s="42">
        <v>2.5</v>
      </c>
      <c r="DR83" s="42">
        <v>6.5</v>
      </c>
      <c r="DS83" s="11">
        <f t="shared" si="78"/>
        <v>4</v>
      </c>
      <c r="DT83" s="11">
        <f t="shared" si="79"/>
        <v>1.5275252316519465</v>
      </c>
      <c r="EW83" s="8">
        <v>57.7</v>
      </c>
      <c r="EX83" s="8">
        <v>9</v>
      </c>
      <c r="EY83" s="41">
        <v>47.2</v>
      </c>
      <c r="EZ83" s="41">
        <v>9.3000000000000007</v>
      </c>
      <c r="FA83" s="41"/>
      <c r="FB83" s="41"/>
      <c r="FG83" s="41"/>
      <c r="FH83" s="41"/>
      <c r="FI83" s="41">
        <v>101.7</v>
      </c>
      <c r="FJ83" s="41">
        <v>12.3</v>
      </c>
      <c r="FK83" s="41">
        <v>170.4</v>
      </c>
      <c r="FL83" s="41">
        <v>41</v>
      </c>
      <c r="GQ83" s="41"/>
      <c r="GR83" s="41"/>
      <c r="GS83" s="41">
        <v>18.399999999999999</v>
      </c>
      <c r="GT83" s="41">
        <v>3.1</v>
      </c>
      <c r="GU83" s="41">
        <v>14.6</v>
      </c>
      <c r="GV83" s="41">
        <v>1.3</v>
      </c>
      <c r="GY83" s="41"/>
      <c r="GZ83" s="41"/>
      <c r="HA83" s="41"/>
      <c r="HB83" s="41"/>
      <c r="IM83" s="41"/>
      <c r="IN83" s="41"/>
      <c r="IO83" s="41">
        <v>2.7</v>
      </c>
      <c r="IP83" s="41">
        <v>3.5</v>
      </c>
      <c r="IQ83" s="41">
        <v>6</v>
      </c>
      <c r="IR83" s="41">
        <v>4.5999999999999996</v>
      </c>
      <c r="IS83" s="41">
        <v>5.3</v>
      </c>
      <c r="IT83" s="41">
        <v>2.8</v>
      </c>
      <c r="IU83" s="8">
        <v>3.6</v>
      </c>
      <c r="IV83" s="8">
        <v>3.6</v>
      </c>
      <c r="JU83" s="7" t="s">
        <v>252</v>
      </c>
    </row>
    <row r="84" spans="1:281" s="8" customFormat="1" ht="20" customHeight="1" x14ac:dyDescent="0.2">
      <c r="A84" s="35">
        <v>43</v>
      </c>
      <c r="B84" s="7" t="s">
        <v>723</v>
      </c>
      <c r="C84" s="7" t="s">
        <v>440</v>
      </c>
      <c r="D84" s="7" t="s">
        <v>231</v>
      </c>
      <c r="E84" s="8">
        <v>21</v>
      </c>
      <c r="F84" s="8" t="s">
        <v>237</v>
      </c>
      <c r="G84" s="7" t="s">
        <v>237</v>
      </c>
      <c r="H84" s="7">
        <v>24431465</v>
      </c>
      <c r="I84" s="7" t="s">
        <v>949</v>
      </c>
      <c r="J84" s="7" t="s">
        <v>441</v>
      </c>
      <c r="K84" s="8">
        <v>2014</v>
      </c>
      <c r="L84" s="12" t="s">
        <v>442</v>
      </c>
      <c r="N84" s="7" t="s">
        <v>264</v>
      </c>
      <c r="O84" s="7" t="s">
        <v>298</v>
      </c>
      <c r="P84" s="37" t="s">
        <v>819</v>
      </c>
      <c r="Q84" s="37" t="s">
        <v>1008</v>
      </c>
      <c r="R84" s="37"/>
      <c r="S84" s="37"/>
      <c r="T84" s="37"/>
      <c r="U84" s="37" t="s">
        <v>298</v>
      </c>
      <c r="V84" s="7" t="s">
        <v>236</v>
      </c>
      <c r="W84" s="7" t="s">
        <v>237</v>
      </c>
      <c r="X84" s="7" t="s">
        <v>284</v>
      </c>
      <c r="Y84" s="7" t="s">
        <v>828</v>
      </c>
      <c r="Z84" s="7" t="s">
        <v>237</v>
      </c>
      <c r="AB84" s="7" t="s">
        <v>239</v>
      </c>
      <c r="AC84" s="7" t="s">
        <v>929</v>
      </c>
      <c r="AD84" s="7" t="s">
        <v>239</v>
      </c>
      <c r="AE84" s="8" t="s">
        <v>560</v>
      </c>
      <c r="AF84" s="7" t="s">
        <v>239</v>
      </c>
      <c r="AG84" s="7" t="s">
        <v>240</v>
      </c>
      <c r="AH84" s="7" t="s">
        <v>239</v>
      </c>
      <c r="AI84" s="8">
        <v>30</v>
      </c>
      <c r="AK84" s="7" t="s">
        <v>239</v>
      </c>
      <c r="AL84" s="8">
        <v>6000</v>
      </c>
      <c r="AM84" s="7" t="s">
        <v>259</v>
      </c>
      <c r="AN84" s="7" t="s">
        <v>443</v>
      </c>
      <c r="AO84" s="7"/>
      <c r="AP84" s="7"/>
      <c r="AQ84" s="7"/>
      <c r="AR84" s="8">
        <v>144</v>
      </c>
      <c r="AS84" s="38">
        <v>11.23</v>
      </c>
      <c r="AT84" s="42">
        <v>4</v>
      </c>
      <c r="AU84" s="38">
        <v>10.36</v>
      </c>
      <c r="AV84" s="42">
        <v>3.4</v>
      </c>
      <c r="AX84" s="7" t="s">
        <v>244</v>
      </c>
      <c r="AY84" s="7" t="s">
        <v>245</v>
      </c>
      <c r="BB84" s="7" t="s">
        <v>246</v>
      </c>
      <c r="BC84" s="11">
        <v>4.4800000000000004</v>
      </c>
      <c r="BD84" s="41">
        <v>1.5</v>
      </c>
      <c r="BE84" s="41"/>
      <c r="BF84" s="11">
        <v>5.19</v>
      </c>
      <c r="BG84" s="41">
        <v>1.5</v>
      </c>
      <c r="BH84" s="41"/>
      <c r="BI84" s="7" t="s">
        <v>297</v>
      </c>
      <c r="BJ84" s="8">
        <v>2</v>
      </c>
      <c r="BK84" s="5" t="str">
        <f t="shared" si="85"/>
        <v>Control_greater_than_case</v>
      </c>
      <c r="BP84" s="7" t="s">
        <v>237</v>
      </c>
      <c r="BR84" s="7" t="s">
        <v>262</v>
      </c>
      <c r="CG84" s="7" t="s">
        <v>239</v>
      </c>
      <c r="CH84" s="7" t="s">
        <v>240</v>
      </c>
      <c r="CJ84" s="7" t="s">
        <v>239</v>
      </c>
      <c r="CK84" s="7" t="s">
        <v>248</v>
      </c>
      <c r="CL84" s="8">
        <v>18</v>
      </c>
      <c r="CM84" s="8">
        <v>17</v>
      </c>
      <c r="CN84" s="7" t="s">
        <v>249</v>
      </c>
      <c r="CO84" s="7" t="s">
        <v>249</v>
      </c>
      <c r="CP84" s="7" t="s">
        <v>249</v>
      </c>
      <c r="CQ84" s="5" t="s">
        <v>445</v>
      </c>
      <c r="CU84" s="42">
        <v>43.5</v>
      </c>
      <c r="CV84" s="42">
        <v>8.5</v>
      </c>
      <c r="CW84" s="42">
        <v>39.700000000000003</v>
      </c>
      <c r="CX84" s="42">
        <v>11.1</v>
      </c>
      <c r="CY84" s="27">
        <f t="shared" si="80"/>
        <v>41.65428571428572</v>
      </c>
      <c r="CZ84" s="28">
        <f t="shared" si="81"/>
        <v>9.8903649744451325</v>
      </c>
      <c r="DA84" s="7">
        <v>6</v>
      </c>
      <c r="DB84" s="29">
        <f t="shared" si="82"/>
        <v>33.333333333333329</v>
      </c>
      <c r="DC84" s="8">
        <v>6</v>
      </c>
      <c r="DD84" s="29">
        <f t="shared" si="83"/>
        <v>35.294117647058826</v>
      </c>
      <c r="DE84" s="28">
        <f t="shared" si="84"/>
        <v>34.285714285714285</v>
      </c>
      <c r="DG84" s="8">
        <f t="shared" si="86"/>
        <v>35</v>
      </c>
      <c r="DH84" s="7" t="s">
        <v>240</v>
      </c>
      <c r="DL84" s="5" t="s">
        <v>446</v>
      </c>
      <c r="DO84" s="7" t="s">
        <v>239</v>
      </c>
      <c r="DP84" s="44">
        <v>3.25</v>
      </c>
      <c r="DQ84" s="42">
        <v>1</v>
      </c>
      <c r="DR84" s="42">
        <v>6.5</v>
      </c>
      <c r="DS84" s="11">
        <f t="shared" si="78"/>
        <v>3.5</v>
      </c>
      <c r="DT84" s="11">
        <f t="shared" si="79"/>
        <v>1.6645820296198484</v>
      </c>
      <c r="EW84" s="8">
        <v>57.7</v>
      </c>
      <c r="EX84" s="8">
        <v>9</v>
      </c>
      <c r="EY84" s="41">
        <v>47.2</v>
      </c>
      <c r="EZ84" s="41">
        <v>9.3000000000000007</v>
      </c>
      <c r="FA84" s="41"/>
      <c r="FB84" s="41"/>
      <c r="FG84" s="41"/>
      <c r="FH84" s="41"/>
      <c r="FI84" s="41">
        <v>101.7</v>
      </c>
      <c r="FJ84" s="41">
        <v>12.3</v>
      </c>
      <c r="FK84" s="41">
        <v>150.5</v>
      </c>
      <c r="FL84" s="41">
        <v>49.2</v>
      </c>
      <c r="GQ84" s="41"/>
      <c r="GR84" s="41"/>
      <c r="GS84" s="41">
        <v>18.399999999999999</v>
      </c>
      <c r="GT84" s="41">
        <v>3.1</v>
      </c>
      <c r="GU84" s="41">
        <v>16.600000000000001</v>
      </c>
      <c r="GV84" s="41">
        <v>3.3</v>
      </c>
      <c r="GY84" s="41"/>
      <c r="GZ84" s="41"/>
      <c r="HA84" s="41"/>
      <c r="HB84" s="41"/>
      <c r="IM84" s="41"/>
      <c r="IN84" s="41"/>
      <c r="IO84" s="41">
        <v>2.7</v>
      </c>
      <c r="IP84" s="41">
        <v>3.5</v>
      </c>
      <c r="IQ84" s="41">
        <v>3.9</v>
      </c>
      <c r="IR84" s="41">
        <v>3.2</v>
      </c>
      <c r="IS84" s="41">
        <v>5.3</v>
      </c>
      <c r="IT84" s="41">
        <v>2.8</v>
      </c>
      <c r="IU84" s="8">
        <v>5.4</v>
      </c>
      <c r="IV84" s="8">
        <v>3.9</v>
      </c>
      <c r="JU84" s="7" t="s">
        <v>252</v>
      </c>
    </row>
    <row r="85" spans="1:281" s="8" customFormat="1" ht="20" customHeight="1" x14ac:dyDescent="0.2">
      <c r="A85" s="35">
        <v>43</v>
      </c>
      <c r="B85" s="7" t="s">
        <v>724</v>
      </c>
      <c r="C85" s="7" t="s">
        <v>440</v>
      </c>
      <c r="D85" s="7" t="s">
        <v>231</v>
      </c>
      <c r="E85" s="8">
        <v>21</v>
      </c>
      <c r="F85" s="8" t="s">
        <v>239</v>
      </c>
      <c r="G85" s="7" t="s">
        <v>237</v>
      </c>
      <c r="H85" s="7">
        <v>24431465</v>
      </c>
      <c r="I85" s="7" t="s">
        <v>950</v>
      </c>
      <c r="J85" s="7" t="s">
        <v>441</v>
      </c>
      <c r="K85" s="8">
        <v>2014</v>
      </c>
      <c r="L85" s="12" t="s">
        <v>442</v>
      </c>
      <c r="N85" s="7" t="s">
        <v>264</v>
      </c>
      <c r="O85" s="7" t="s">
        <v>358</v>
      </c>
      <c r="P85" s="36" t="s">
        <v>822</v>
      </c>
      <c r="Q85" s="36"/>
      <c r="R85" s="36" t="s">
        <v>358</v>
      </c>
      <c r="S85" s="36"/>
      <c r="T85" s="36" t="s">
        <v>358</v>
      </c>
      <c r="U85" s="36"/>
      <c r="V85" s="7" t="s">
        <v>236</v>
      </c>
      <c r="W85" s="7" t="s">
        <v>237</v>
      </c>
      <c r="X85" s="7" t="s">
        <v>284</v>
      </c>
      <c r="Y85" s="7" t="s">
        <v>828</v>
      </c>
      <c r="Z85" s="7" t="s">
        <v>237</v>
      </c>
      <c r="AB85" s="7" t="s">
        <v>239</v>
      </c>
      <c r="AC85" s="7" t="s">
        <v>929</v>
      </c>
      <c r="AD85" s="7" t="s">
        <v>239</v>
      </c>
      <c r="AE85" s="8" t="s">
        <v>560</v>
      </c>
      <c r="AF85" s="7" t="s">
        <v>239</v>
      </c>
      <c r="AG85" s="7" t="s">
        <v>240</v>
      </c>
      <c r="AH85" s="7" t="s">
        <v>239</v>
      </c>
      <c r="AI85" s="8">
        <v>30</v>
      </c>
      <c r="AK85" s="7" t="s">
        <v>239</v>
      </c>
      <c r="AL85" s="8">
        <v>6000</v>
      </c>
      <c r="AM85" s="7" t="s">
        <v>259</v>
      </c>
      <c r="AN85" s="7" t="s">
        <v>443</v>
      </c>
      <c r="AO85" s="7"/>
      <c r="AP85" s="7"/>
      <c r="AQ85" s="7"/>
      <c r="AR85" s="8">
        <v>144</v>
      </c>
      <c r="AS85" s="7"/>
      <c r="AT85" s="7"/>
      <c r="AU85" s="7"/>
      <c r="AV85" s="7"/>
      <c r="AX85" s="7" t="s">
        <v>253</v>
      </c>
      <c r="AY85" s="7" t="s">
        <v>245</v>
      </c>
      <c r="BB85" s="7" t="s">
        <v>246</v>
      </c>
      <c r="BC85" s="11">
        <v>4.9800000000000004</v>
      </c>
      <c r="BD85" s="41">
        <v>2.5</v>
      </c>
      <c r="BE85" s="41"/>
      <c r="BF85" s="11">
        <v>4.99</v>
      </c>
      <c r="BG85" s="41">
        <v>1.5</v>
      </c>
      <c r="BH85" s="41"/>
      <c r="BI85" s="7" t="s">
        <v>297</v>
      </c>
      <c r="BJ85" s="8">
        <v>2</v>
      </c>
      <c r="BK85" s="5" t="str">
        <f t="shared" si="85"/>
        <v>Control_greater_than_case</v>
      </c>
      <c r="BP85" s="7" t="s">
        <v>237</v>
      </c>
      <c r="BR85" s="7" t="s">
        <v>262</v>
      </c>
      <c r="CG85" s="7" t="s">
        <v>239</v>
      </c>
      <c r="CH85" s="7" t="s">
        <v>240</v>
      </c>
      <c r="CJ85" s="7" t="s">
        <v>239</v>
      </c>
      <c r="CK85" s="7" t="s">
        <v>248</v>
      </c>
      <c r="CL85" s="8">
        <v>13</v>
      </c>
      <c r="CM85" s="8">
        <v>17</v>
      </c>
      <c r="CN85" s="7" t="s">
        <v>444</v>
      </c>
      <c r="CO85" s="7" t="s">
        <v>249</v>
      </c>
      <c r="CP85" s="7" t="s">
        <v>249</v>
      </c>
      <c r="CQ85" s="5" t="s">
        <v>445</v>
      </c>
      <c r="CU85" s="42">
        <v>43.6</v>
      </c>
      <c r="CV85" s="42">
        <v>9.6</v>
      </c>
      <c r="CW85" s="42">
        <v>39.700000000000003</v>
      </c>
      <c r="CX85" s="42">
        <v>11.1</v>
      </c>
      <c r="CY85" s="27">
        <f t="shared" si="80"/>
        <v>41.390000000000008</v>
      </c>
      <c r="CZ85" s="28">
        <f t="shared" si="81"/>
        <v>10.486982077959716</v>
      </c>
      <c r="DA85" s="7"/>
      <c r="DB85" s="29" t="str">
        <f t="shared" si="82"/>
        <v/>
      </c>
      <c r="DC85" s="8">
        <v>6</v>
      </c>
      <c r="DD85" s="29">
        <f t="shared" si="83"/>
        <v>35.294117647058826</v>
      </c>
      <c r="DE85" s="28" t="str">
        <f t="shared" si="84"/>
        <v/>
      </c>
      <c r="DG85" s="8">
        <f t="shared" si="86"/>
        <v>30</v>
      </c>
      <c r="DH85" s="7" t="s">
        <v>240</v>
      </c>
      <c r="DL85" s="5" t="s">
        <v>446</v>
      </c>
      <c r="DO85" s="7" t="s">
        <v>239</v>
      </c>
      <c r="DP85" s="44">
        <v>2.5</v>
      </c>
      <c r="DQ85" s="42">
        <v>1</v>
      </c>
      <c r="DR85" s="42">
        <v>6.5</v>
      </c>
      <c r="DS85" s="11">
        <f t="shared" si="78"/>
        <v>3.125</v>
      </c>
      <c r="DT85" s="11">
        <f t="shared" si="79"/>
        <v>2.0207259421636903</v>
      </c>
      <c r="EW85" s="8">
        <v>57.7</v>
      </c>
      <c r="EX85" s="8">
        <v>9</v>
      </c>
      <c r="EY85" s="41">
        <v>47.2</v>
      </c>
      <c r="EZ85" s="41">
        <v>9.3000000000000007</v>
      </c>
      <c r="FA85" s="41"/>
      <c r="FB85" s="41"/>
      <c r="FG85" s="41"/>
      <c r="FH85" s="41"/>
      <c r="FI85" s="41">
        <v>101.7</v>
      </c>
      <c r="FJ85" s="41">
        <v>12.3</v>
      </c>
      <c r="FK85" s="41">
        <v>141.5</v>
      </c>
      <c r="FL85" s="41">
        <v>51.2</v>
      </c>
      <c r="GQ85" s="41"/>
      <c r="GR85" s="41"/>
      <c r="GS85" s="41">
        <v>18.399999999999999</v>
      </c>
      <c r="GT85" s="41">
        <v>3.1</v>
      </c>
      <c r="GU85" s="41">
        <v>17.3</v>
      </c>
      <c r="GV85" s="41">
        <v>3.5</v>
      </c>
      <c r="GY85" s="41"/>
      <c r="GZ85" s="41"/>
      <c r="HA85" s="41"/>
      <c r="HB85" s="41"/>
      <c r="IM85" s="41"/>
      <c r="IN85" s="41"/>
      <c r="IO85" s="41">
        <v>2.7</v>
      </c>
      <c r="IP85" s="41">
        <v>3.5</v>
      </c>
      <c r="IQ85" s="41">
        <v>3.1</v>
      </c>
      <c r="IR85" s="41">
        <v>2.2000000000000002</v>
      </c>
      <c r="IS85" s="41">
        <v>5.3</v>
      </c>
      <c r="IT85" s="41">
        <v>2.8</v>
      </c>
      <c r="IU85" s="8">
        <v>6.2</v>
      </c>
      <c r="IV85" s="8">
        <v>3.9</v>
      </c>
      <c r="JU85" s="7" t="s">
        <v>252</v>
      </c>
    </row>
    <row r="86" spans="1:281" s="8" customFormat="1" ht="20" customHeight="1" x14ac:dyDescent="0.2">
      <c r="A86" s="35">
        <v>43</v>
      </c>
      <c r="B86" s="7" t="s">
        <v>725</v>
      </c>
      <c r="C86" s="7" t="s">
        <v>440</v>
      </c>
      <c r="D86" s="7" t="s">
        <v>231</v>
      </c>
      <c r="E86" s="8">
        <v>21</v>
      </c>
      <c r="F86" s="8" t="s">
        <v>239</v>
      </c>
      <c r="G86" s="7" t="s">
        <v>237</v>
      </c>
      <c r="H86" s="7">
        <v>24431465</v>
      </c>
      <c r="I86" s="7" t="s">
        <v>951</v>
      </c>
      <c r="J86" s="7" t="s">
        <v>441</v>
      </c>
      <c r="K86" s="8">
        <v>2014</v>
      </c>
      <c r="L86" s="12" t="s">
        <v>442</v>
      </c>
      <c r="N86" s="7" t="s">
        <v>264</v>
      </c>
      <c r="O86" s="7" t="s">
        <v>358</v>
      </c>
      <c r="P86" s="36" t="s">
        <v>822</v>
      </c>
      <c r="Q86" s="36"/>
      <c r="R86" s="36" t="s">
        <v>358</v>
      </c>
      <c r="S86" s="36"/>
      <c r="T86" s="36" t="s">
        <v>358</v>
      </c>
      <c r="U86" s="36"/>
      <c r="V86" s="7" t="s">
        <v>236</v>
      </c>
      <c r="W86" s="7" t="s">
        <v>237</v>
      </c>
      <c r="X86" s="7" t="s">
        <v>284</v>
      </c>
      <c r="Y86" s="7" t="s">
        <v>828</v>
      </c>
      <c r="Z86" s="7" t="s">
        <v>237</v>
      </c>
      <c r="AB86" s="7" t="s">
        <v>239</v>
      </c>
      <c r="AC86" s="7" t="s">
        <v>929</v>
      </c>
      <c r="AD86" s="7" t="s">
        <v>239</v>
      </c>
      <c r="AE86" s="8" t="s">
        <v>560</v>
      </c>
      <c r="AF86" s="7" t="s">
        <v>239</v>
      </c>
      <c r="AG86" s="7" t="s">
        <v>240</v>
      </c>
      <c r="AH86" s="7" t="s">
        <v>239</v>
      </c>
      <c r="AI86" s="8">
        <v>30</v>
      </c>
      <c r="AK86" s="7" t="s">
        <v>239</v>
      </c>
      <c r="AL86" s="8">
        <v>6000</v>
      </c>
      <c r="AM86" s="7" t="s">
        <v>259</v>
      </c>
      <c r="AN86" s="7" t="s">
        <v>443</v>
      </c>
      <c r="AO86" s="7"/>
      <c r="AP86" s="7"/>
      <c r="AQ86" s="7"/>
      <c r="AR86" s="8">
        <v>144</v>
      </c>
      <c r="AS86" s="7"/>
      <c r="AT86" s="7"/>
      <c r="AU86" s="7"/>
      <c r="AV86" s="7"/>
      <c r="AX86" s="7" t="s">
        <v>253</v>
      </c>
      <c r="AY86" s="7" t="s">
        <v>245</v>
      </c>
      <c r="BB86" s="7" t="s">
        <v>246</v>
      </c>
      <c r="BC86" s="11">
        <v>4.3600000000000003</v>
      </c>
      <c r="BD86" s="41">
        <v>0.3</v>
      </c>
      <c r="BE86" s="41"/>
      <c r="BF86" s="11">
        <v>4.99</v>
      </c>
      <c r="BG86" s="41">
        <v>1.5</v>
      </c>
      <c r="BH86" s="41"/>
      <c r="BI86" s="7" t="s">
        <v>297</v>
      </c>
      <c r="BJ86" s="8">
        <v>2</v>
      </c>
      <c r="BK86" s="5" t="str">
        <f t="shared" si="85"/>
        <v>Control_greater_than_case</v>
      </c>
      <c r="BP86" s="7" t="s">
        <v>237</v>
      </c>
      <c r="BR86" s="7" t="s">
        <v>262</v>
      </c>
      <c r="CG86" s="7" t="s">
        <v>239</v>
      </c>
      <c r="CH86" s="7" t="s">
        <v>240</v>
      </c>
      <c r="CJ86" s="7" t="s">
        <v>239</v>
      </c>
      <c r="CK86" s="7" t="s">
        <v>248</v>
      </c>
      <c r="CL86" s="8">
        <v>5</v>
      </c>
      <c r="CM86" s="8">
        <v>17</v>
      </c>
      <c r="CN86" s="7" t="s">
        <v>447</v>
      </c>
      <c r="CO86" s="7" t="s">
        <v>249</v>
      </c>
      <c r="CP86" s="7" t="s">
        <v>249</v>
      </c>
      <c r="CQ86" s="5" t="s">
        <v>448</v>
      </c>
      <c r="CU86" s="42">
        <v>43.2</v>
      </c>
      <c r="CV86" s="42">
        <v>4.7</v>
      </c>
      <c r="CW86" s="42">
        <v>39.700000000000003</v>
      </c>
      <c r="CX86" s="42">
        <v>11.1</v>
      </c>
      <c r="CY86" s="27">
        <f t="shared" si="80"/>
        <v>40.49545454545455</v>
      </c>
      <c r="CZ86" s="28">
        <f t="shared" si="81"/>
        <v>10.016770569434673</v>
      </c>
      <c r="DA86" s="7"/>
      <c r="DB86" s="29" t="str">
        <f t="shared" si="82"/>
        <v/>
      </c>
      <c r="DC86" s="8">
        <v>6</v>
      </c>
      <c r="DD86" s="29">
        <f t="shared" si="83"/>
        <v>35.294117647058826</v>
      </c>
      <c r="DE86" s="28" t="str">
        <f t="shared" si="84"/>
        <v/>
      </c>
      <c r="DG86" s="8">
        <f t="shared" si="86"/>
        <v>22</v>
      </c>
      <c r="DH86" s="7" t="s">
        <v>240</v>
      </c>
      <c r="DL86" s="5" t="s">
        <v>446</v>
      </c>
      <c r="DO86" s="7" t="s">
        <v>239</v>
      </c>
      <c r="DP86" s="44">
        <v>3.5</v>
      </c>
      <c r="DQ86" s="42">
        <v>2.5</v>
      </c>
      <c r="DR86" s="42">
        <v>6.5</v>
      </c>
      <c r="DS86" s="11">
        <f t="shared" si="78"/>
        <v>4</v>
      </c>
      <c r="DT86" s="11">
        <f t="shared" si="79"/>
        <v>1.5275252316519465</v>
      </c>
      <c r="EW86" s="8">
        <v>57.7</v>
      </c>
      <c r="EX86" s="8">
        <v>9</v>
      </c>
      <c r="EY86" s="41">
        <v>47.2</v>
      </c>
      <c r="EZ86" s="41">
        <v>9.3000000000000007</v>
      </c>
      <c r="FA86" s="41"/>
      <c r="FB86" s="41"/>
      <c r="FG86" s="41"/>
      <c r="FH86" s="41"/>
      <c r="FI86" s="41">
        <v>101.7</v>
      </c>
      <c r="FJ86" s="41">
        <v>12.3</v>
      </c>
      <c r="FK86" s="41">
        <v>170.4</v>
      </c>
      <c r="FL86" s="41">
        <v>41</v>
      </c>
      <c r="GQ86" s="41"/>
      <c r="GR86" s="41"/>
      <c r="GS86" s="41">
        <v>18.399999999999999</v>
      </c>
      <c r="GT86" s="41">
        <v>3.1</v>
      </c>
      <c r="GU86" s="41">
        <v>14.6</v>
      </c>
      <c r="GV86" s="41">
        <v>1.3</v>
      </c>
      <c r="GY86" s="41"/>
      <c r="GZ86" s="41"/>
      <c r="HA86" s="41"/>
      <c r="HB86" s="41"/>
      <c r="IM86" s="41"/>
      <c r="IN86" s="41"/>
      <c r="IO86" s="41">
        <v>2.7</v>
      </c>
      <c r="IP86" s="41">
        <v>3.5</v>
      </c>
      <c r="IQ86" s="41">
        <v>6</v>
      </c>
      <c r="IR86" s="41">
        <v>4.5999999999999996</v>
      </c>
      <c r="IS86" s="41">
        <v>5.3</v>
      </c>
      <c r="IT86" s="41">
        <v>2.8</v>
      </c>
      <c r="IU86" s="8">
        <v>3.6</v>
      </c>
      <c r="IV86" s="8">
        <v>3.6</v>
      </c>
      <c r="JU86" s="7" t="s">
        <v>252</v>
      </c>
    </row>
    <row r="87" spans="1:281" s="8" customFormat="1" ht="20" customHeight="1" x14ac:dyDescent="0.2">
      <c r="A87" s="35">
        <v>43</v>
      </c>
      <c r="B87" s="7" t="s">
        <v>726</v>
      </c>
      <c r="C87" s="7" t="s">
        <v>440</v>
      </c>
      <c r="D87" s="7" t="s">
        <v>231</v>
      </c>
      <c r="E87" s="8">
        <v>21</v>
      </c>
      <c r="F87" s="8" t="s">
        <v>237</v>
      </c>
      <c r="G87" s="7" t="s">
        <v>237</v>
      </c>
      <c r="H87" s="7">
        <v>24431465</v>
      </c>
      <c r="I87" s="7" t="s">
        <v>952</v>
      </c>
      <c r="J87" s="7" t="s">
        <v>441</v>
      </c>
      <c r="K87" s="8">
        <v>2014</v>
      </c>
      <c r="L87" s="12" t="s">
        <v>442</v>
      </c>
      <c r="N87" s="7" t="s">
        <v>264</v>
      </c>
      <c r="O87" s="7" t="s">
        <v>358</v>
      </c>
      <c r="P87" s="36" t="s">
        <v>822</v>
      </c>
      <c r="Q87" s="36"/>
      <c r="R87" s="36" t="s">
        <v>358</v>
      </c>
      <c r="S87" s="36"/>
      <c r="T87" s="36" t="s">
        <v>358</v>
      </c>
      <c r="U87" s="36"/>
      <c r="V87" s="7" t="s">
        <v>236</v>
      </c>
      <c r="W87" s="7" t="s">
        <v>237</v>
      </c>
      <c r="X87" s="7" t="s">
        <v>284</v>
      </c>
      <c r="Y87" s="7" t="s">
        <v>828</v>
      </c>
      <c r="Z87" s="7" t="s">
        <v>237</v>
      </c>
      <c r="AB87" s="7" t="s">
        <v>239</v>
      </c>
      <c r="AC87" s="7" t="s">
        <v>929</v>
      </c>
      <c r="AD87" s="7" t="s">
        <v>239</v>
      </c>
      <c r="AE87" s="8" t="s">
        <v>560</v>
      </c>
      <c r="AF87" s="7" t="s">
        <v>239</v>
      </c>
      <c r="AG87" s="7" t="s">
        <v>240</v>
      </c>
      <c r="AH87" s="7" t="s">
        <v>239</v>
      </c>
      <c r="AI87" s="8">
        <v>30</v>
      </c>
      <c r="AK87" s="7" t="s">
        <v>239</v>
      </c>
      <c r="AL87" s="8">
        <v>6000</v>
      </c>
      <c r="AM87" s="7" t="s">
        <v>259</v>
      </c>
      <c r="AN87" s="7" t="s">
        <v>443</v>
      </c>
      <c r="AO87" s="7"/>
      <c r="AP87" s="7"/>
      <c r="AQ87" s="7"/>
      <c r="AR87" s="8">
        <v>144</v>
      </c>
      <c r="AS87" s="38">
        <v>11.47</v>
      </c>
      <c r="AT87" s="42">
        <v>3.5</v>
      </c>
      <c r="AU87" s="38">
        <v>12.35</v>
      </c>
      <c r="AV87" s="38">
        <v>3.6</v>
      </c>
      <c r="AX87" s="7" t="s">
        <v>253</v>
      </c>
      <c r="AY87" s="7" t="s">
        <v>245</v>
      </c>
      <c r="BB87" s="7" t="s">
        <v>246</v>
      </c>
      <c r="BC87" s="11">
        <v>4.79</v>
      </c>
      <c r="BD87" s="41">
        <v>2.1</v>
      </c>
      <c r="BE87" s="41"/>
      <c r="BF87" s="11">
        <v>4.99</v>
      </c>
      <c r="BG87" s="41">
        <v>1.5</v>
      </c>
      <c r="BH87" s="41"/>
      <c r="BI87" s="7" t="s">
        <v>297</v>
      </c>
      <c r="BJ87" s="8">
        <v>2</v>
      </c>
      <c r="BK87" s="5" t="str">
        <f t="shared" si="85"/>
        <v>Control_greater_than_case</v>
      </c>
      <c r="BP87" s="7" t="s">
        <v>237</v>
      </c>
      <c r="BR87" s="7" t="s">
        <v>262</v>
      </c>
      <c r="CG87" s="7" t="s">
        <v>239</v>
      </c>
      <c r="CH87" s="7" t="s">
        <v>240</v>
      </c>
      <c r="CJ87" s="7" t="s">
        <v>239</v>
      </c>
      <c r="CK87" s="7" t="s">
        <v>248</v>
      </c>
      <c r="CL87" s="8">
        <v>18</v>
      </c>
      <c r="CM87" s="8">
        <v>17</v>
      </c>
      <c r="CN87" s="7" t="s">
        <v>249</v>
      </c>
      <c r="CO87" s="7" t="s">
        <v>249</v>
      </c>
      <c r="CP87" s="7" t="s">
        <v>249</v>
      </c>
      <c r="CQ87" s="5" t="s">
        <v>445</v>
      </c>
      <c r="CU87" s="42">
        <v>43.5</v>
      </c>
      <c r="CV87" s="42">
        <v>8.5</v>
      </c>
      <c r="CW87" s="42">
        <v>39.700000000000003</v>
      </c>
      <c r="CX87" s="42">
        <v>11.1</v>
      </c>
      <c r="CY87" s="27">
        <f t="shared" si="80"/>
        <v>41.65428571428572</v>
      </c>
      <c r="CZ87" s="28">
        <f t="shared" si="81"/>
        <v>9.8903649744451325</v>
      </c>
      <c r="DA87" s="7">
        <v>6</v>
      </c>
      <c r="DB87" s="29">
        <f t="shared" si="82"/>
        <v>33.333333333333329</v>
      </c>
      <c r="DC87" s="8">
        <v>6</v>
      </c>
      <c r="DD87" s="29">
        <f t="shared" si="83"/>
        <v>35.294117647058826</v>
      </c>
      <c r="DE87" s="28">
        <f t="shared" si="84"/>
        <v>34.285714285714285</v>
      </c>
      <c r="DG87" s="8">
        <f t="shared" si="86"/>
        <v>35</v>
      </c>
      <c r="DH87" s="7" t="s">
        <v>240</v>
      </c>
      <c r="DL87" s="5" t="s">
        <v>446</v>
      </c>
      <c r="DO87" s="7" t="s">
        <v>239</v>
      </c>
      <c r="DP87" s="44">
        <v>3.25</v>
      </c>
      <c r="DQ87" s="42">
        <v>1</v>
      </c>
      <c r="DR87" s="42">
        <v>6.5</v>
      </c>
      <c r="DS87" s="11">
        <f t="shared" si="78"/>
        <v>3.5</v>
      </c>
      <c r="DT87" s="11">
        <f t="shared" si="79"/>
        <v>1.6645820296198484</v>
      </c>
      <c r="EW87" s="8">
        <v>57.7</v>
      </c>
      <c r="EX87" s="8">
        <v>9</v>
      </c>
      <c r="EY87" s="41">
        <v>47.2</v>
      </c>
      <c r="EZ87" s="41">
        <v>9.3000000000000007</v>
      </c>
      <c r="FA87" s="41"/>
      <c r="FB87" s="41"/>
      <c r="FG87" s="41"/>
      <c r="FH87" s="41"/>
      <c r="FI87" s="41">
        <v>101.7</v>
      </c>
      <c r="FJ87" s="41">
        <v>12.3</v>
      </c>
      <c r="FK87" s="41">
        <v>150.5</v>
      </c>
      <c r="FL87" s="41">
        <v>49.2</v>
      </c>
      <c r="GQ87" s="41"/>
      <c r="GR87" s="41"/>
      <c r="GS87" s="41">
        <v>18.399999999999999</v>
      </c>
      <c r="GT87" s="41">
        <v>3.1</v>
      </c>
      <c r="GU87" s="41">
        <v>16.600000000000001</v>
      </c>
      <c r="GV87" s="41">
        <v>3.3</v>
      </c>
      <c r="GY87" s="41"/>
      <c r="GZ87" s="41"/>
      <c r="HA87" s="41"/>
      <c r="HB87" s="41"/>
      <c r="IM87" s="41"/>
      <c r="IN87" s="41"/>
      <c r="IO87" s="41">
        <v>2.7</v>
      </c>
      <c r="IP87" s="41">
        <v>3.5</v>
      </c>
      <c r="IQ87" s="41">
        <v>3.9</v>
      </c>
      <c r="IR87" s="41">
        <v>3.2</v>
      </c>
      <c r="IS87" s="41">
        <v>5.3</v>
      </c>
      <c r="IT87" s="41">
        <v>2.8</v>
      </c>
      <c r="IU87" s="8">
        <v>5.4</v>
      </c>
      <c r="IV87" s="8">
        <v>3.9</v>
      </c>
      <c r="JU87" s="7" t="s">
        <v>252</v>
      </c>
    </row>
    <row r="88" spans="1:281" s="8" customFormat="1" ht="20" customHeight="1" x14ac:dyDescent="0.2">
      <c r="A88" s="35">
        <v>43</v>
      </c>
      <c r="B88" s="7" t="s">
        <v>727</v>
      </c>
      <c r="C88" s="7" t="s">
        <v>440</v>
      </c>
      <c r="D88" s="7" t="s">
        <v>231</v>
      </c>
      <c r="E88" s="8">
        <v>21</v>
      </c>
      <c r="F88" s="8" t="s">
        <v>237</v>
      </c>
      <c r="G88" s="7" t="s">
        <v>237</v>
      </c>
      <c r="H88" s="7">
        <v>24431465</v>
      </c>
      <c r="I88" s="7" t="s">
        <v>953</v>
      </c>
      <c r="J88" s="7" t="s">
        <v>441</v>
      </c>
      <c r="K88" s="8">
        <v>2014</v>
      </c>
      <c r="L88" s="12" t="s">
        <v>442</v>
      </c>
      <c r="N88" s="7" t="s">
        <v>264</v>
      </c>
      <c r="O88" s="7" t="s">
        <v>358</v>
      </c>
      <c r="P88" s="36" t="s">
        <v>822</v>
      </c>
      <c r="Q88" s="36"/>
      <c r="R88" s="36" t="s">
        <v>358</v>
      </c>
      <c r="S88" s="36"/>
      <c r="T88" s="36" t="s">
        <v>358</v>
      </c>
      <c r="U88" s="36"/>
      <c r="V88" s="7" t="s">
        <v>236</v>
      </c>
      <c r="W88" s="7" t="s">
        <v>237</v>
      </c>
      <c r="X88" s="7" t="s">
        <v>284</v>
      </c>
      <c r="Y88" s="7" t="s">
        <v>828</v>
      </c>
      <c r="Z88" s="7" t="s">
        <v>237</v>
      </c>
      <c r="AB88" s="7" t="s">
        <v>239</v>
      </c>
      <c r="AC88" s="7" t="s">
        <v>929</v>
      </c>
      <c r="AD88" s="7" t="s">
        <v>239</v>
      </c>
      <c r="AE88" s="8" t="s">
        <v>560</v>
      </c>
      <c r="AF88" s="7" t="s">
        <v>239</v>
      </c>
      <c r="AG88" s="7" t="s">
        <v>240</v>
      </c>
      <c r="AH88" s="7" t="s">
        <v>239</v>
      </c>
      <c r="AI88" s="8">
        <v>30</v>
      </c>
      <c r="AK88" s="7" t="s">
        <v>239</v>
      </c>
      <c r="AL88" s="8">
        <v>6000</v>
      </c>
      <c r="AM88" s="7" t="s">
        <v>259</v>
      </c>
      <c r="AN88" s="7" t="s">
        <v>443</v>
      </c>
      <c r="AO88" s="7"/>
      <c r="AP88" s="7"/>
      <c r="AQ88" s="7"/>
      <c r="AR88" s="8">
        <v>144</v>
      </c>
      <c r="AS88" s="7"/>
      <c r="AT88" s="7"/>
      <c r="AU88" s="7"/>
      <c r="AV88" s="7"/>
      <c r="AX88" s="7" t="s">
        <v>244</v>
      </c>
      <c r="AY88" s="7" t="s">
        <v>245</v>
      </c>
      <c r="BB88" s="7" t="s">
        <v>246</v>
      </c>
      <c r="BC88" s="11">
        <v>6.45</v>
      </c>
      <c r="BD88" s="41">
        <v>4.5</v>
      </c>
      <c r="BE88" s="41"/>
      <c r="BF88" s="11">
        <v>5.84</v>
      </c>
      <c r="BG88" s="41">
        <v>2.4</v>
      </c>
      <c r="BH88" s="41"/>
      <c r="BI88" s="7" t="s">
        <v>297</v>
      </c>
      <c r="BJ88" s="8">
        <v>2</v>
      </c>
      <c r="BK88" s="5" t="str">
        <f t="shared" si="85"/>
        <v>Case_greater_than_control</v>
      </c>
      <c r="BP88" s="7" t="s">
        <v>237</v>
      </c>
      <c r="BR88" s="7" t="s">
        <v>262</v>
      </c>
      <c r="CG88" s="7" t="s">
        <v>239</v>
      </c>
      <c r="CH88" s="7" t="s">
        <v>240</v>
      </c>
      <c r="CJ88" s="7" t="s">
        <v>239</v>
      </c>
      <c r="CK88" s="7" t="s">
        <v>248</v>
      </c>
      <c r="CL88" s="8">
        <v>13</v>
      </c>
      <c r="CM88" s="8">
        <v>17</v>
      </c>
      <c r="CN88" s="7" t="s">
        <v>444</v>
      </c>
      <c r="CO88" s="7" t="s">
        <v>249</v>
      </c>
      <c r="CP88" s="7" t="s">
        <v>249</v>
      </c>
      <c r="CQ88" s="5" t="s">
        <v>445</v>
      </c>
      <c r="CU88" s="42">
        <v>43.6</v>
      </c>
      <c r="CV88" s="42">
        <v>9.6</v>
      </c>
      <c r="CW88" s="42">
        <v>39.700000000000003</v>
      </c>
      <c r="CX88" s="42">
        <v>11.1</v>
      </c>
      <c r="CY88" s="27">
        <f t="shared" si="80"/>
        <v>41.390000000000008</v>
      </c>
      <c r="CZ88" s="28">
        <f t="shared" si="81"/>
        <v>10.486982077959716</v>
      </c>
      <c r="DA88" s="7"/>
      <c r="DB88" s="29" t="str">
        <f t="shared" si="82"/>
        <v/>
      </c>
      <c r="DC88" s="8">
        <v>6</v>
      </c>
      <c r="DD88" s="29">
        <f t="shared" si="83"/>
        <v>35.294117647058826</v>
      </c>
      <c r="DE88" s="28" t="str">
        <f t="shared" si="84"/>
        <v/>
      </c>
      <c r="DG88" s="8">
        <f t="shared" si="86"/>
        <v>30</v>
      </c>
      <c r="DH88" s="7" t="s">
        <v>240</v>
      </c>
      <c r="DL88" s="5" t="s">
        <v>446</v>
      </c>
      <c r="DO88" s="7" t="s">
        <v>239</v>
      </c>
      <c r="DP88" s="44">
        <v>2.5</v>
      </c>
      <c r="DQ88" s="42">
        <v>1</v>
      </c>
      <c r="DR88" s="42">
        <v>6.5</v>
      </c>
      <c r="DS88" s="11">
        <f t="shared" si="78"/>
        <v>3.125</v>
      </c>
      <c r="DT88" s="11">
        <f t="shared" si="79"/>
        <v>2.0207259421636903</v>
      </c>
      <c r="EW88" s="8">
        <v>57.7</v>
      </c>
      <c r="EX88" s="8">
        <v>9</v>
      </c>
      <c r="EY88" s="41">
        <v>47.2</v>
      </c>
      <c r="EZ88" s="41">
        <v>9.3000000000000007</v>
      </c>
      <c r="FA88" s="41"/>
      <c r="FB88" s="41"/>
      <c r="FG88" s="41"/>
      <c r="FH88" s="41"/>
      <c r="FI88" s="41">
        <v>101.7</v>
      </c>
      <c r="FJ88" s="41">
        <v>12.3</v>
      </c>
      <c r="FK88" s="41">
        <v>141.5</v>
      </c>
      <c r="FL88" s="41">
        <v>51.2</v>
      </c>
      <c r="GQ88" s="41"/>
      <c r="GR88" s="41"/>
      <c r="GS88" s="41">
        <v>18.399999999999999</v>
      </c>
      <c r="GT88" s="41">
        <v>3.1</v>
      </c>
      <c r="GU88" s="41">
        <v>17.3</v>
      </c>
      <c r="GV88" s="41">
        <v>3.5</v>
      </c>
      <c r="GY88" s="41"/>
      <c r="GZ88" s="41"/>
      <c r="HA88" s="41"/>
      <c r="HB88" s="41"/>
      <c r="IM88" s="41"/>
      <c r="IN88" s="41"/>
      <c r="IO88" s="41">
        <v>2.7</v>
      </c>
      <c r="IP88" s="41">
        <v>3.5</v>
      </c>
      <c r="IQ88" s="41">
        <v>3.1</v>
      </c>
      <c r="IR88" s="41">
        <v>2.2000000000000002</v>
      </c>
      <c r="IS88" s="41">
        <v>5.3</v>
      </c>
      <c r="IT88" s="41">
        <v>2.8</v>
      </c>
      <c r="IU88" s="8">
        <v>6.2</v>
      </c>
      <c r="IV88" s="8">
        <v>3.9</v>
      </c>
      <c r="JU88" s="7" t="s">
        <v>252</v>
      </c>
    </row>
    <row r="89" spans="1:281" s="8" customFormat="1" ht="20" customHeight="1" x14ac:dyDescent="0.2">
      <c r="A89" s="35">
        <v>43</v>
      </c>
      <c r="B89" s="7" t="s">
        <v>728</v>
      </c>
      <c r="C89" s="7" t="s">
        <v>440</v>
      </c>
      <c r="D89" s="7" t="s">
        <v>231</v>
      </c>
      <c r="E89" s="8">
        <v>21</v>
      </c>
      <c r="F89" s="8" t="s">
        <v>237</v>
      </c>
      <c r="G89" s="7" t="s">
        <v>237</v>
      </c>
      <c r="H89" s="7">
        <v>24431465</v>
      </c>
      <c r="I89" s="7" t="s">
        <v>954</v>
      </c>
      <c r="J89" s="7" t="s">
        <v>441</v>
      </c>
      <c r="K89" s="8">
        <v>2014</v>
      </c>
      <c r="L89" s="12" t="s">
        <v>442</v>
      </c>
      <c r="N89" s="7" t="s">
        <v>264</v>
      </c>
      <c r="O89" s="7" t="s">
        <v>358</v>
      </c>
      <c r="P89" s="36" t="s">
        <v>822</v>
      </c>
      <c r="Q89" s="36"/>
      <c r="R89" s="36" t="s">
        <v>358</v>
      </c>
      <c r="S89" s="36"/>
      <c r="T89" s="36" t="s">
        <v>358</v>
      </c>
      <c r="U89" s="36"/>
      <c r="V89" s="7" t="s">
        <v>236</v>
      </c>
      <c r="W89" s="7" t="s">
        <v>237</v>
      </c>
      <c r="X89" s="7" t="s">
        <v>284</v>
      </c>
      <c r="Y89" s="7" t="s">
        <v>828</v>
      </c>
      <c r="Z89" s="7" t="s">
        <v>237</v>
      </c>
      <c r="AB89" s="7" t="s">
        <v>239</v>
      </c>
      <c r="AC89" s="7" t="s">
        <v>929</v>
      </c>
      <c r="AD89" s="7" t="s">
        <v>239</v>
      </c>
      <c r="AE89" s="8" t="s">
        <v>560</v>
      </c>
      <c r="AF89" s="7" t="s">
        <v>239</v>
      </c>
      <c r="AG89" s="7" t="s">
        <v>240</v>
      </c>
      <c r="AH89" s="7" t="s">
        <v>239</v>
      </c>
      <c r="AI89" s="8">
        <v>30</v>
      </c>
      <c r="AK89" s="7" t="s">
        <v>239</v>
      </c>
      <c r="AL89" s="8">
        <v>6000</v>
      </c>
      <c r="AM89" s="7" t="s">
        <v>259</v>
      </c>
      <c r="AN89" s="7" t="s">
        <v>443</v>
      </c>
      <c r="AO89" s="7"/>
      <c r="AP89" s="7"/>
      <c r="AQ89" s="7"/>
      <c r="AR89" s="8">
        <v>144</v>
      </c>
      <c r="AS89" s="7"/>
      <c r="AT89" s="7"/>
      <c r="AU89" s="7"/>
      <c r="AV89" s="7"/>
      <c r="AX89" s="7" t="s">
        <v>244</v>
      </c>
      <c r="AY89" s="7" t="s">
        <v>245</v>
      </c>
      <c r="BB89" s="7" t="s">
        <v>246</v>
      </c>
      <c r="BC89" s="11">
        <v>5.08</v>
      </c>
      <c r="BD89" s="41">
        <v>1.5</v>
      </c>
      <c r="BE89" s="41"/>
      <c r="BF89" s="11">
        <v>5.84</v>
      </c>
      <c r="BG89" s="41">
        <v>2.4</v>
      </c>
      <c r="BH89" s="41"/>
      <c r="BI89" s="7" t="s">
        <v>297</v>
      </c>
      <c r="BJ89" s="8">
        <v>2</v>
      </c>
      <c r="BK89" s="5" t="str">
        <f t="shared" si="85"/>
        <v>Control_greater_than_case</v>
      </c>
      <c r="BP89" s="7" t="s">
        <v>237</v>
      </c>
      <c r="BR89" s="7" t="s">
        <v>262</v>
      </c>
      <c r="CG89" s="7" t="s">
        <v>239</v>
      </c>
      <c r="CH89" s="7" t="s">
        <v>240</v>
      </c>
      <c r="CJ89" s="7" t="s">
        <v>239</v>
      </c>
      <c r="CK89" s="7" t="s">
        <v>248</v>
      </c>
      <c r="CL89" s="8">
        <v>5</v>
      </c>
      <c r="CM89" s="8">
        <v>17</v>
      </c>
      <c r="CN89" s="7" t="s">
        <v>447</v>
      </c>
      <c r="CO89" s="7" t="s">
        <v>249</v>
      </c>
      <c r="CP89" s="7" t="s">
        <v>249</v>
      </c>
      <c r="CQ89" s="5" t="s">
        <v>448</v>
      </c>
      <c r="CU89" s="42">
        <v>43.2</v>
      </c>
      <c r="CV89" s="42">
        <v>4.7</v>
      </c>
      <c r="CW89" s="42">
        <v>39.700000000000003</v>
      </c>
      <c r="CX89" s="42">
        <v>11.1</v>
      </c>
      <c r="CY89" s="27">
        <f t="shared" si="80"/>
        <v>40.49545454545455</v>
      </c>
      <c r="CZ89" s="28">
        <f t="shared" si="81"/>
        <v>10.016770569434673</v>
      </c>
      <c r="DA89" s="7"/>
      <c r="DB89" s="29" t="str">
        <f t="shared" si="82"/>
        <v/>
      </c>
      <c r="DC89" s="8">
        <v>6</v>
      </c>
      <c r="DD89" s="29">
        <f t="shared" si="83"/>
        <v>35.294117647058826</v>
      </c>
      <c r="DE89" s="28" t="str">
        <f t="shared" si="84"/>
        <v/>
      </c>
      <c r="DG89" s="8">
        <f t="shared" si="86"/>
        <v>22</v>
      </c>
      <c r="DH89" s="7" t="s">
        <v>240</v>
      </c>
      <c r="DL89" s="5" t="s">
        <v>446</v>
      </c>
      <c r="DO89" s="7" t="s">
        <v>239</v>
      </c>
      <c r="DP89" s="44">
        <v>3.5</v>
      </c>
      <c r="DQ89" s="42">
        <v>2.5</v>
      </c>
      <c r="DR89" s="42">
        <v>6.5</v>
      </c>
      <c r="DS89" s="11">
        <f t="shared" si="78"/>
        <v>4</v>
      </c>
      <c r="DT89" s="11">
        <f t="shared" si="79"/>
        <v>1.5275252316519465</v>
      </c>
      <c r="EW89" s="8">
        <v>57.7</v>
      </c>
      <c r="EX89" s="8">
        <v>9</v>
      </c>
      <c r="EY89" s="41">
        <v>47.2</v>
      </c>
      <c r="EZ89" s="41">
        <v>9.3000000000000007</v>
      </c>
      <c r="FA89" s="41"/>
      <c r="FB89" s="41"/>
      <c r="FG89" s="41"/>
      <c r="FH89" s="41"/>
      <c r="FI89" s="41">
        <v>101.7</v>
      </c>
      <c r="FJ89" s="41">
        <v>12.3</v>
      </c>
      <c r="FK89" s="41">
        <v>170.4</v>
      </c>
      <c r="FL89" s="41">
        <v>41</v>
      </c>
      <c r="GQ89" s="41"/>
      <c r="GR89" s="41"/>
      <c r="GS89" s="41">
        <v>18.399999999999999</v>
      </c>
      <c r="GT89" s="41">
        <v>3.1</v>
      </c>
      <c r="GU89" s="41">
        <v>14.6</v>
      </c>
      <c r="GV89" s="41">
        <v>1.3</v>
      </c>
      <c r="GY89" s="41"/>
      <c r="GZ89" s="41"/>
      <c r="HA89" s="41"/>
      <c r="HB89" s="41"/>
      <c r="IM89" s="41"/>
      <c r="IN89" s="41"/>
      <c r="IO89" s="41">
        <v>2.7</v>
      </c>
      <c r="IP89" s="41">
        <v>3.5</v>
      </c>
      <c r="IQ89" s="41">
        <v>6</v>
      </c>
      <c r="IR89" s="41">
        <v>4.5999999999999996</v>
      </c>
      <c r="IS89" s="41">
        <v>5.3</v>
      </c>
      <c r="IT89" s="41">
        <v>2.8</v>
      </c>
      <c r="IU89" s="8">
        <v>3.6</v>
      </c>
      <c r="IV89" s="8">
        <v>3.6</v>
      </c>
      <c r="JU89" s="7" t="s">
        <v>252</v>
      </c>
    </row>
    <row r="90" spans="1:281" s="8" customFormat="1" ht="20" customHeight="1" x14ac:dyDescent="0.2">
      <c r="A90" s="35">
        <v>43</v>
      </c>
      <c r="B90" s="7" t="s">
        <v>729</v>
      </c>
      <c r="C90" s="7" t="s">
        <v>440</v>
      </c>
      <c r="D90" s="7" t="s">
        <v>231</v>
      </c>
      <c r="E90" s="8">
        <v>21</v>
      </c>
      <c r="F90" s="8" t="s">
        <v>237</v>
      </c>
      <c r="G90" s="7" t="s">
        <v>237</v>
      </c>
      <c r="H90" s="7">
        <v>24431465</v>
      </c>
      <c r="I90" s="7" t="s">
        <v>955</v>
      </c>
      <c r="J90" s="7" t="s">
        <v>441</v>
      </c>
      <c r="K90" s="8">
        <v>2014</v>
      </c>
      <c r="L90" s="12" t="s">
        <v>442</v>
      </c>
      <c r="N90" s="7" t="s">
        <v>264</v>
      </c>
      <c r="O90" s="7" t="s">
        <v>358</v>
      </c>
      <c r="P90" s="36" t="s">
        <v>822</v>
      </c>
      <c r="Q90" s="36"/>
      <c r="R90" s="36" t="s">
        <v>358</v>
      </c>
      <c r="S90" s="36"/>
      <c r="T90" s="36" t="s">
        <v>358</v>
      </c>
      <c r="U90" s="36"/>
      <c r="V90" s="7" t="s">
        <v>236</v>
      </c>
      <c r="W90" s="7" t="s">
        <v>237</v>
      </c>
      <c r="X90" s="7" t="s">
        <v>284</v>
      </c>
      <c r="Y90" s="7" t="s">
        <v>828</v>
      </c>
      <c r="Z90" s="7" t="s">
        <v>237</v>
      </c>
      <c r="AB90" s="7" t="s">
        <v>239</v>
      </c>
      <c r="AC90" s="7" t="s">
        <v>929</v>
      </c>
      <c r="AD90" s="7" t="s">
        <v>239</v>
      </c>
      <c r="AE90" s="8" t="s">
        <v>560</v>
      </c>
      <c r="AF90" s="7" t="s">
        <v>239</v>
      </c>
      <c r="AG90" s="7" t="s">
        <v>240</v>
      </c>
      <c r="AH90" s="7" t="s">
        <v>239</v>
      </c>
      <c r="AI90" s="8">
        <v>30</v>
      </c>
      <c r="AK90" s="7" t="s">
        <v>239</v>
      </c>
      <c r="AL90" s="8">
        <v>6000</v>
      </c>
      <c r="AM90" s="7" t="s">
        <v>259</v>
      </c>
      <c r="AN90" s="7" t="s">
        <v>443</v>
      </c>
      <c r="AO90" s="7"/>
      <c r="AP90" s="7"/>
      <c r="AQ90" s="7"/>
      <c r="AR90" s="8">
        <v>144</v>
      </c>
      <c r="AS90" s="38">
        <v>13.35</v>
      </c>
      <c r="AT90" s="42">
        <v>4</v>
      </c>
      <c r="AU90" s="38">
        <v>12.56</v>
      </c>
      <c r="AV90" s="42">
        <v>3.8</v>
      </c>
      <c r="AX90" s="7" t="s">
        <v>244</v>
      </c>
      <c r="AY90" s="7" t="s">
        <v>245</v>
      </c>
      <c r="BB90" s="7" t="s">
        <v>246</v>
      </c>
      <c r="BC90" s="11">
        <v>6.05</v>
      </c>
      <c r="BD90" s="41">
        <v>3.9</v>
      </c>
      <c r="BE90" s="41"/>
      <c r="BF90" s="11">
        <v>5.84</v>
      </c>
      <c r="BG90" s="41">
        <v>2.4</v>
      </c>
      <c r="BH90" s="41"/>
      <c r="BI90" s="7" t="s">
        <v>297</v>
      </c>
      <c r="BJ90" s="8">
        <v>2</v>
      </c>
      <c r="BK90" s="5" t="str">
        <f t="shared" si="85"/>
        <v>Case_greater_than_control</v>
      </c>
      <c r="BP90" s="7" t="s">
        <v>237</v>
      </c>
      <c r="BR90" s="7" t="s">
        <v>262</v>
      </c>
      <c r="CG90" s="7" t="s">
        <v>239</v>
      </c>
      <c r="CH90" s="7" t="s">
        <v>240</v>
      </c>
      <c r="CJ90" s="7" t="s">
        <v>239</v>
      </c>
      <c r="CK90" s="7" t="s">
        <v>248</v>
      </c>
      <c r="CL90" s="8">
        <v>18</v>
      </c>
      <c r="CM90" s="8">
        <v>17</v>
      </c>
      <c r="CN90" s="7" t="s">
        <v>249</v>
      </c>
      <c r="CO90" s="7" t="s">
        <v>249</v>
      </c>
      <c r="CP90" s="7" t="s">
        <v>249</v>
      </c>
      <c r="CQ90" s="5" t="s">
        <v>445</v>
      </c>
      <c r="CU90" s="42">
        <v>43.5</v>
      </c>
      <c r="CV90" s="42">
        <v>8.5</v>
      </c>
      <c r="CW90" s="42">
        <v>39.700000000000003</v>
      </c>
      <c r="CX90" s="42">
        <v>11.1</v>
      </c>
      <c r="CY90" s="27">
        <f t="shared" si="80"/>
        <v>41.65428571428572</v>
      </c>
      <c r="CZ90" s="28">
        <f t="shared" si="81"/>
        <v>9.8903649744451325</v>
      </c>
      <c r="DA90" s="7">
        <v>6</v>
      </c>
      <c r="DB90" s="29">
        <f t="shared" si="82"/>
        <v>33.333333333333329</v>
      </c>
      <c r="DC90" s="8">
        <v>6</v>
      </c>
      <c r="DD90" s="29">
        <f t="shared" si="83"/>
        <v>35.294117647058826</v>
      </c>
      <c r="DE90" s="28">
        <f t="shared" si="84"/>
        <v>34.285714285714285</v>
      </c>
      <c r="DG90" s="8">
        <f t="shared" si="86"/>
        <v>35</v>
      </c>
      <c r="DH90" s="7" t="s">
        <v>240</v>
      </c>
      <c r="DL90" s="5" t="s">
        <v>446</v>
      </c>
      <c r="DO90" s="7" t="s">
        <v>239</v>
      </c>
      <c r="DP90" s="44">
        <v>3.25</v>
      </c>
      <c r="DQ90" s="42">
        <v>1</v>
      </c>
      <c r="DR90" s="42">
        <v>6.5</v>
      </c>
      <c r="DS90" s="11">
        <f t="shared" si="78"/>
        <v>3.5</v>
      </c>
      <c r="DT90" s="11">
        <f t="shared" si="79"/>
        <v>1.6645820296198484</v>
      </c>
      <c r="EW90" s="8">
        <v>57.7</v>
      </c>
      <c r="EX90" s="8">
        <v>9</v>
      </c>
      <c r="EY90" s="41">
        <v>47.2</v>
      </c>
      <c r="EZ90" s="41">
        <v>9.3000000000000007</v>
      </c>
      <c r="FA90" s="41"/>
      <c r="FB90" s="41"/>
      <c r="FG90" s="41"/>
      <c r="FH90" s="41"/>
      <c r="FI90" s="41">
        <v>101.7</v>
      </c>
      <c r="FJ90" s="41">
        <v>12.3</v>
      </c>
      <c r="FK90" s="41">
        <v>150.5</v>
      </c>
      <c r="FL90" s="41">
        <v>49.2</v>
      </c>
      <c r="GQ90" s="41"/>
      <c r="GR90" s="41"/>
      <c r="GS90" s="41">
        <v>18.399999999999999</v>
      </c>
      <c r="GT90" s="41">
        <v>3.1</v>
      </c>
      <c r="GU90" s="41">
        <v>16.600000000000001</v>
      </c>
      <c r="GV90" s="41">
        <v>3.3</v>
      </c>
      <c r="GY90" s="41"/>
      <c r="GZ90" s="41"/>
      <c r="HA90" s="41"/>
      <c r="HB90" s="41"/>
      <c r="IM90" s="41"/>
      <c r="IN90" s="41"/>
      <c r="IO90" s="41">
        <v>2.7</v>
      </c>
      <c r="IP90" s="41">
        <v>3.5</v>
      </c>
      <c r="IQ90" s="41">
        <v>3.9</v>
      </c>
      <c r="IR90" s="41">
        <v>3.2</v>
      </c>
      <c r="IS90" s="41">
        <v>5.3</v>
      </c>
      <c r="IT90" s="41">
        <v>2.8</v>
      </c>
      <c r="IU90" s="8">
        <v>5.4</v>
      </c>
      <c r="IV90" s="8">
        <v>3.9</v>
      </c>
      <c r="JU90" s="7" t="s">
        <v>252</v>
      </c>
    </row>
    <row r="91" spans="1:281" s="8" customFormat="1" ht="20" customHeight="1" x14ac:dyDescent="0.2">
      <c r="A91" s="35">
        <v>43</v>
      </c>
      <c r="B91" s="7" t="s">
        <v>730</v>
      </c>
      <c r="C91" s="7" t="s">
        <v>440</v>
      </c>
      <c r="D91" s="7" t="s">
        <v>231</v>
      </c>
      <c r="E91" s="8">
        <v>21</v>
      </c>
      <c r="F91" s="8" t="s">
        <v>239</v>
      </c>
      <c r="G91" s="7" t="s">
        <v>237</v>
      </c>
      <c r="H91" s="7">
        <v>24431465</v>
      </c>
      <c r="I91" s="7" t="s">
        <v>956</v>
      </c>
      <c r="J91" s="7" t="s">
        <v>441</v>
      </c>
      <c r="K91" s="8">
        <v>2014</v>
      </c>
      <c r="L91" s="12" t="s">
        <v>442</v>
      </c>
      <c r="N91" s="7" t="s">
        <v>234</v>
      </c>
      <c r="O91" s="7" t="s">
        <v>449</v>
      </c>
      <c r="P91" s="36" t="s">
        <v>816</v>
      </c>
      <c r="Q91" s="36" t="s">
        <v>464</v>
      </c>
      <c r="R91" s="36"/>
      <c r="S91" s="36"/>
      <c r="T91" s="36"/>
      <c r="U91" s="36"/>
      <c r="V91" s="7" t="s">
        <v>236</v>
      </c>
      <c r="W91" s="7" t="s">
        <v>237</v>
      </c>
      <c r="X91" s="7" t="s">
        <v>284</v>
      </c>
      <c r="Y91" s="7" t="s">
        <v>828</v>
      </c>
      <c r="Z91" s="7" t="s">
        <v>237</v>
      </c>
      <c r="AB91" s="7" t="s">
        <v>237</v>
      </c>
      <c r="AC91" s="7" t="s">
        <v>930</v>
      </c>
      <c r="AD91" s="7" t="s">
        <v>239</v>
      </c>
      <c r="AE91" s="8" t="s">
        <v>560</v>
      </c>
      <c r="AF91" s="7" t="s">
        <v>239</v>
      </c>
      <c r="AG91" s="7" t="s">
        <v>240</v>
      </c>
      <c r="AH91" s="7" t="s">
        <v>239</v>
      </c>
      <c r="AI91" s="8">
        <v>30</v>
      </c>
      <c r="AK91" s="7" t="s">
        <v>239</v>
      </c>
      <c r="AL91" s="8">
        <v>6000</v>
      </c>
      <c r="AM91" s="7" t="s">
        <v>259</v>
      </c>
      <c r="AN91" s="7" t="s">
        <v>450</v>
      </c>
      <c r="AO91" s="7"/>
      <c r="AP91" s="7"/>
      <c r="AQ91" s="7"/>
      <c r="AR91" s="8">
        <v>48</v>
      </c>
      <c r="AS91" s="7"/>
      <c r="AT91" s="7"/>
      <c r="AU91" s="7"/>
      <c r="AV91" s="7"/>
      <c r="AX91" s="7" t="s">
        <v>253</v>
      </c>
      <c r="AY91" s="7" t="s">
        <v>245</v>
      </c>
      <c r="BB91" s="7" t="s">
        <v>246</v>
      </c>
      <c r="BC91" s="11">
        <v>6.34</v>
      </c>
      <c r="BD91" s="41">
        <v>1.1000000000000001</v>
      </c>
      <c r="BE91" s="41"/>
      <c r="BF91" s="11">
        <v>7.59</v>
      </c>
      <c r="BG91" s="41">
        <v>0.6</v>
      </c>
      <c r="BH91" s="41"/>
      <c r="BI91" s="7" t="s">
        <v>451</v>
      </c>
      <c r="BJ91" s="8">
        <v>2</v>
      </c>
      <c r="BK91" s="5" t="str">
        <f t="shared" si="85"/>
        <v>Control_greater_than_case</v>
      </c>
      <c r="BP91" s="7" t="s">
        <v>237</v>
      </c>
      <c r="BR91" s="7" t="s">
        <v>262</v>
      </c>
      <c r="CG91" s="7" t="s">
        <v>239</v>
      </c>
      <c r="CH91" s="7" t="s">
        <v>240</v>
      </c>
      <c r="CJ91" s="7" t="s">
        <v>239</v>
      </c>
      <c r="CK91" s="7" t="s">
        <v>248</v>
      </c>
      <c r="CL91" s="8">
        <v>13</v>
      </c>
      <c r="CM91" s="8">
        <v>17</v>
      </c>
      <c r="CN91" s="7" t="s">
        <v>444</v>
      </c>
      <c r="CO91" s="7" t="s">
        <v>249</v>
      </c>
      <c r="CP91" s="7" t="s">
        <v>249</v>
      </c>
      <c r="CQ91" s="5" t="s">
        <v>445</v>
      </c>
      <c r="CU91" s="42">
        <v>43.6</v>
      </c>
      <c r="CV91" s="42">
        <v>9.6</v>
      </c>
      <c r="CW91" s="42">
        <v>39.700000000000003</v>
      </c>
      <c r="CX91" s="42">
        <v>11.1</v>
      </c>
      <c r="CY91" s="27">
        <f t="shared" si="80"/>
        <v>41.390000000000008</v>
      </c>
      <c r="CZ91" s="28">
        <f t="shared" si="81"/>
        <v>10.486982077959716</v>
      </c>
      <c r="DA91" s="7"/>
      <c r="DB91" s="29" t="str">
        <f t="shared" si="82"/>
        <v/>
      </c>
      <c r="DC91" s="8">
        <v>6</v>
      </c>
      <c r="DD91" s="29">
        <f t="shared" si="83"/>
        <v>35.294117647058826</v>
      </c>
      <c r="DE91" s="28" t="str">
        <f t="shared" si="84"/>
        <v/>
      </c>
      <c r="DG91" s="8">
        <f t="shared" si="86"/>
        <v>30</v>
      </c>
      <c r="DH91" s="7" t="s">
        <v>240</v>
      </c>
      <c r="DL91" s="5" t="s">
        <v>446</v>
      </c>
      <c r="DO91" s="7" t="s">
        <v>239</v>
      </c>
      <c r="DP91" s="44">
        <v>2.5</v>
      </c>
      <c r="DQ91" s="42">
        <v>1</v>
      </c>
      <c r="DR91" s="42">
        <v>6.5</v>
      </c>
      <c r="DS91" s="11">
        <f t="shared" si="78"/>
        <v>3.125</v>
      </c>
      <c r="DT91" s="11">
        <f t="shared" si="79"/>
        <v>2.0207259421636903</v>
      </c>
      <c r="EW91" s="8">
        <v>57.7</v>
      </c>
      <c r="EX91" s="8">
        <v>9</v>
      </c>
      <c r="EY91" s="41">
        <v>47.2</v>
      </c>
      <c r="EZ91" s="41">
        <v>9.3000000000000007</v>
      </c>
      <c r="FA91" s="41"/>
      <c r="FB91" s="41"/>
      <c r="FG91" s="41"/>
      <c r="FH91" s="41"/>
      <c r="FI91" s="41">
        <v>101.7</v>
      </c>
      <c r="FJ91" s="41">
        <v>12.3</v>
      </c>
      <c r="FK91" s="41">
        <v>141.5</v>
      </c>
      <c r="FL91" s="41">
        <v>51.2</v>
      </c>
      <c r="GQ91" s="41"/>
      <c r="GR91" s="41"/>
      <c r="GS91" s="41">
        <v>18.399999999999999</v>
      </c>
      <c r="GT91" s="41">
        <v>3.1</v>
      </c>
      <c r="GU91" s="41">
        <v>17.3</v>
      </c>
      <c r="GV91" s="41">
        <v>3.5</v>
      </c>
      <c r="GY91" s="41"/>
      <c r="GZ91" s="41"/>
      <c r="HA91" s="41"/>
      <c r="HB91" s="41"/>
      <c r="IM91" s="41"/>
      <c r="IN91" s="41"/>
      <c r="IO91" s="41">
        <v>2.7</v>
      </c>
      <c r="IP91" s="41">
        <v>3.5</v>
      </c>
      <c r="IQ91" s="41">
        <v>3.1</v>
      </c>
      <c r="IR91" s="41">
        <v>2.2000000000000002</v>
      </c>
      <c r="IS91" s="41">
        <v>5.3</v>
      </c>
      <c r="IT91" s="41">
        <v>2.8</v>
      </c>
      <c r="IU91" s="8">
        <v>6.2</v>
      </c>
      <c r="IV91" s="8">
        <v>3.9</v>
      </c>
      <c r="JU91" s="7" t="s">
        <v>252</v>
      </c>
    </row>
    <row r="92" spans="1:281" s="8" customFormat="1" ht="20" customHeight="1" x14ac:dyDescent="0.2">
      <c r="A92" s="35">
        <v>43</v>
      </c>
      <c r="B92" s="7" t="s">
        <v>731</v>
      </c>
      <c r="C92" s="7" t="s">
        <v>440</v>
      </c>
      <c r="D92" s="7" t="s">
        <v>231</v>
      </c>
      <c r="E92" s="8">
        <v>21</v>
      </c>
      <c r="F92" s="8" t="s">
        <v>239</v>
      </c>
      <c r="G92" s="7" t="s">
        <v>237</v>
      </c>
      <c r="H92" s="7">
        <v>24431465</v>
      </c>
      <c r="I92" s="7" t="s">
        <v>957</v>
      </c>
      <c r="J92" s="7" t="s">
        <v>441</v>
      </c>
      <c r="K92" s="8">
        <v>2014</v>
      </c>
      <c r="L92" s="12" t="s">
        <v>442</v>
      </c>
      <c r="N92" s="7" t="s">
        <v>234</v>
      </c>
      <c r="O92" s="7" t="s">
        <v>449</v>
      </c>
      <c r="P92" s="36" t="s">
        <v>816</v>
      </c>
      <c r="Q92" s="36" t="s">
        <v>464</v>
      </c>
      <c r="R92" s="36"/>
      <c r="S92" s="36"/>
      <c r="T92" s="36"/>
      <c r="U92" s="36"/>
      <c r="V92" s="7" t="s">
        <v>236</v>
      </c>
      <c r="W92" s="7" t="s">
        <v>237</v>
      </c>
      <c r="X92" s="7" t="s">
        <v>284</v>
      </c>
      <c r="Y92" s="7" t="s">
        <v>828</v>
      </c>
      <c r="Z92" s="7" t="s">
        <v>237</v>
      </c>
      <c r="AB92" s="7" t="s">
        <v>237</v>
      </c>
      <c r="AC92" s="7" t="s">
        <v>930</v>
      </c>
      <c r="AD92" s="7" t="s">
        <v>239</v>
      </c>
      <c r="AE92" s="8" t="s">
        <v>560</v>
      </c>
      <c r="AF92" s="7" t="s">
        <v>239</v>
      </c>
      <c r="AG92" s="7" t="s">
        <v>240</v>
      </c>
      <c r="AH92" s="7" t="s">
        <v>239</v>
      </c>
      <c r="AI92" s="8">
        <v>30</v>
      </c>
      <c r="AK92" s="7" t="s">
        <v>239</v>
      </c>
      <c r="AL92" s="8">
        <v>6000</v>
      </c>
      <c r="AM92" s="7" t="s">
        <v>259</v>
      </c>
      <c r="AN92" s="7" t="s">
        <v>450</v>
      </c>
      <c r="AO92" s="7"/>
      <c r="AP92" s="7"/>
      <c r="AQ92" s="7"/>
      <c r="AR92" s="8">
        <v>48</v>
      </c>
      <c r="AS92" s="7"/>
      <c r="AT92" s="7"/>
      <c r="AU92" s="7"/>
      <c r="AV92" s="7"/>
      <c r="AX92" s="7" t="s">
        <v>253</v>
      </c>
      <c r="AY92" s="7" t="s">
        <v>245</v>
      </c>
      <c r="BB92" s="7" t="s">
        <v>246</v>
      </c>
      <c r="BC92" s="11">
        <v>5.95</v>
      </c>
      <c r="BD92" s="41">
        <v>1.9</v>
      </c>
      <c r="BE92" s="41"/>
      <c r="BF92" s="11">
        <v>7.59</v>
      </c>
      <c r="BG92" s="41">
        <v>0.6</v>
      </c>
      <c r="BH92" s="41"/>
      <c r="BI92" s="7" t="s">
        <v>451</v>
      </c>
      <c r="BJ92" s="8">
        <v>2</v>
      </c>
      <c r="BK92" s="5" t="str">
        <f t="shared" si="85"/>
        <v>Control_greater_than_case</v>
      </c>
      <c r="BP92" s="7" t="s">
        <v>237</v>
      </c>
      <c r="BR92" s="7" t="s">
        <v>262</v>
      </c>
      <c r="CG92" s="7" t="s">
        <v>239</v>
      </c>
      <c r="CH92" s="7" t="s">
        <v>240</v>
      </c>
      <c r="CJ92" s="7" t="s">
        <v>239</v>
      </c>
      <c r="CK92" s="7" t="s">
        <v>248</v>
      </c>
      <c r="CL92" s="8">
        <v>5</v>
      </c>
      <c r="CM92" s="8">
        <v>17</v>
      </c>
      <c r="CN92" s="7" t="s">
        <v>447</v>
      </c>
      <c r="CO92" s="7" t="s">
        <v>249</v>
      </c>
      <c r="CP92" s="7" t="s">
        <v>249</v>
      </c>
      <c r="CQ92" s="5" t="s">
        <v>448</v>
      </c>
      <c r="CU92" s="42">
        <v>43.2</v>
      </c>
      <c r="CV92" s="42">
        <v>4.7</v>
      </c>
      <c r="CW92" s="42">
        <v>39.700000000000003</v>
      </c>
      <c r="CX92" s="42">
        <v>11.1</v>
      </c>
      <c r="CY92" s="27">
        <f t="shared" si="80"/>
        <v>40.49545454545455</v>
      </c>
      <c r="CZ92" s="28">
        <f t="shared" si="81"/>
        <v>10.016770569434673</v>
      </c>
      <c r="DA92" s="7"/>
      <c r="DB92" s="29" t="str">
        <f t="shared" si="82"/>
        <v/>
      </c>
      <c r="DC92" s="8">
        <v>6</v>
      </c>
      <c r="DD92" s="29">
        <f t="shared" si="83"/>
        <v>35.294117647058826</v>
      </c>
      <c r="DE92" s="28" t="str">
        <f t="shared" si="84"/>
        <v/>
      </c>
      <c r="DG92" s="8">
        <f t="shared" si="86"/>
        <v>22</v>
      </c>
      <c r="DH92" s="7" t="s">
        <v>240</v>
      </c>
      <c r="DL92" s="5" t="s">
        <v>446</v>
      </c>
      <c r="DO92" s="7" t="s">
        <v>239</v>
      </c>
      <c r="DP92" s="44">
        <v>3.5</v>
      </c>
      <c r="DQ92" s="42">
        <v>2.5</v>
      </c>
      <c r="DR92" s="42">
        <v>6.5</v>
      </c>
      <c r="DS92" s="11">
        <f t="shared" si="78"/>
        <v>4</v>
      </c>
      <c r="DT92" s="11">
        <f t="shared" si="79"/>
        <v>1.5275252316519465</v>
      </c>
      <c r="EW92" s="8">
        <v>57.7</v>
      </c>
      <c r="EX92" s="8">
        <v>9</v>
      </c>
      <c r="EY92" s="41">
        <v>47.2</v>
      </c>
      <c r="EZ92" s="41">
        <v>9.3000000000000007</v>
      </c>
      <c r="FA92" s="41"/>
      <c r="FB92" s="41"/>
      <c r="FG92" s="41"/>
      <c r="FH92" s="41"/>
      <c r="FI92" s="41">
        <v>101.7</v>
      </c>
      <c r="FJ92" s="41">
        <v>12.3</v>
      </c>
      <c r="FK92" s="41">
        <v>170.4</v>
      </c>
      <c r="FL92" s="41">
        <v>41</v>
      </c>
      <c r="GQ92" s="41"/>
      <c r="GR92" s="41"/>
      <c r="GS92" s="41">
        <v>18.399999999999999</v>
      </c>
      <c r="GT92" s="41">
        <v>3.1</v>
      </c>
      <c r="GU92" s="41">
        <v>14.6</v>
      </c>
      <c r="GV92" s="41">
        <v>1.3</v>
      </c>
      <c r="GY92" s="41"/>
      <c r="GZ92" s="41"/>
      <c r="HA92" s="41"/>
      <c r="HB92" s="41"/>
      <c r="IM92" s="41"/>
      <c r="IN92" s="41"/>
      <c r="IO92" s="41">
        <v>2.7</v>
      </c>
      <c r="IP92" s="41">
        <v>3.5</v>
      </c>
      <c r="IQ92" s="41">
        <v>6</v>
      </c>
      <c r="IR92" s="41">
        <v>4.5999999999999996</v>
      </c>
      <c r="IS92" s="41">
        <v>5.3</v>
      </c>
      <c r="IT92" s="41">
        <v>2.8</v>
      </c>
      <c r="IU92" s="8">
        <v>3.6</v>
      </c>
      <c r="IV92" s="8">
        <v>3.6</v>
      </c>
      <c r="JU92" s="7" t="s">
        <v>252</v>
      </c>
    </row>
    <row r="93" spans="1:281" s="8" customFormat="1" ht="20" customHeight="1" x14ac:dyDescent="0.2">
      <c r="A93" s="35">
        <v>43</v>
      </c>
      <c r="B93" s="7" t="s">
        <v>732</v>
      </c>
      <c r="C93" s="7" t="s">
        <v>440</v>
      </c>
      <c r="D93" s="7" t="s">
        <v>231</v>
      </c>
      <c r="E93" s="8">
        <v>21</v>
      </c>
      <c r="F93" s="8" t="s">
        <v>237</v>
      </c>
      <c r="G93" s="7" t="s">
        <v>237</v>
      </c>
      <c r="H93" s="7">
        <v>24431465</v>
      </c>
      <c r="I93" s="7" t="s">
        <v>958</v>
      </c>
      <c r="J93" s="7" t="s">
        <v>441</v>
      </c>
      <c r="K93" s="8">
        <v>2014</v>
      </c>
      <c r="L93" s="12" t="s">
        <v>442</v>
      </c>
      <c r="N93" s="7" t="s">
        <v>234</v>
      </c>
      <c r="O93" s="7" t="s">
        <v>449</v>
      </c>
      <c r="P93" s="36" t="s">
        <v>816</v>
      </c>
      <c r="Q93" s="36" t="s">
        <v>464</v>
      </c>
      <c r="R93" s="36"/>
      <c r="S93" s="36"/>
      <c r="T93" s="36"/>
      <c r="U93" s="36"/>
      <c r="V93" s="7" t="s">
        <v>236</v>
      </c>
      <c r="W93" s="7" t="s">
        <v>237</v>
      </c>
      <c r="X93" s="7" t="s">
        <v>284</v>
      </c>
      <c r="Y93" s="7" t="s">
        <v>828</v>
      </c>
      <c r="Z93" s="7" t="s">
        <v>237</v>
      </c>
      <c r="AB93" s="7" t="s">
        <v>237</v>
      </c>
      <c r="AC93" s="7" t="s">
        <v>930</v>
      </c>
      <c r="AD93" s="7" t="s">
        <v>239</v>
      </c>
      <c r="AE93" s="8" t="s">
        <v>560</v>
      </c>
      <c r="AF93" s="7" t="s">
        <v>239</v>
      </c>
      <c r="AG93" s="7" t="s">
        <v>240</v>
      </c>
      <c r="AH93" s="7" t="s">
        <v>239</v>
      </c>
      <c r="AI93" s="8">
        <v>30</v>
      </c>
      <c r="AK93" s="7" t="s">
        <v>239</v>
      </c>
      <c r="AL93" s="8">
        <v>6000</v>
      </c>
      <c r="AM93" s="7" t="s">
        <v>259</v>
      </c>
      <c r="AN93" s="7" t="s">
        <v>450</v>
      </c>
      <c r="AO93" s="7"/>
      <c r="AP93" s="7"/>
      <c r="AQ93" s="7"/>
      <c r="AR93" s="8">
        <v>48</v>
      </c>
      <c r="AS93" s="38">
        <v>6.72</v>
      </c>
      <c r="AT93" s="42">
        <v>1.4</v>
      </c>
      <c r="AU93" s="38">
        <v>6.12</v>
      </c>
      <c r="AV93" s="42">
        <v>0.8</v>
      </c>
      <c r="AX93" s="7" t="s">
        <v>253</v>
      </c>
      <c r="AY93" s="7" t="s">
        <v>245</v>
      </c>
      <c r="BB93" s="7" t="s">
        <v>246</v>
      </c>
      <c r="BC93" s="11">
        <v>6.24</v>
      </c>
      <c r="BD93" s="41">
        <v>1.3</v>
      </c>
      <c r="BE93" s="41"/>
      <c r="BF93" s="11">
        <v>7.6</v>
      </c>
      <c r="BG93" s="41">
        <v>0.6</v>
      </c>
      <c r="BH93" s="41"/>
      <c r="BI93" s="7" t="s">
        <v>451</v>
      </c>
      <c r="BJ93" s="8">
        <v>2</v>
      </c>
      <c r="BK93" s="5" t="str">
        <f t="shared" si="85"/>
        <v>Control_greater_than_case</v>
      </c>
      <c r="BP93" s="7" t="s">
        <v>237</v>
      </c>
      <c r="BR93" s="7" t="s">
        <v>262</v>
      </c>
      <c r="CG93" s="7" t="s">
        <v>239</v>
      </c>
      <c r="CH93" s="7" t="s">
        <v>240</v>
      </c>
      <c r="CJ93" s="7" t="s">
        <v>239</v>
      </c>
      <c r="CK93" s="7" t="s">
        <v>248</v>
      </c>
      <c r="CL93" s="8">
        <v>18</v>
      </c>
      <c r="CM93" s="8">
        <v>17</v>
      </c>
      <c r="CN93" s="7" t="s">
        <v>249</v>
      </c>
      <c r="CO93" s="7" t="s">
        <v>249</v>
      </c>
      <c r="CP93" s="7" t="s">
        <v>249</v>
      </c>
      <c r="CQ93" s="5" t="s">
        <v>445</v>
      </c>
      <c r="CU93" s="42">
        <v>43.5</v>
      </c>
      <c r="CV93" s="42">
        <v>8.5</v>
      </c>
      <c r="CW93" s="42">
        <v>39.700000000000003</v>
      </c>
      <c r="CX93" s="42">
        <v>11.1</v>
      </c>
      <c r="CY93" s="27">
        <f t="shared" si="80"/>
        <v>41.65428571428572</v>
      </c>
      <c r="CZ93" s="28">
        <f t="shared" si="81"/>
        <v>9.8903649744451325</v>
      </c>
      <c r="DA93" s="7">
        <v>6</v>
      </c>
      <c r="DB93" s="29">
        <f t="shared" si="82"/>
        <v>33.333333333333329</v>
      </c>
      <c r="DC93" s="8">
        <v>6</v>
      </c>
      <c r="DD93" s="29">
        <f t="shared" si="83"/>
        <v>35.294117647058826</v>
      </c>
      <c r="DE93" s="28">
        <f t="shared" si="84"/>
        <v>34.285714285714285</v>
      </c>
      <c r="DG93" s="8">
        <f t="shared" si="86"/>
        <v>35</v>
      </c>
      <c r="DH93" s="7" t="s">
        <v>240</v>
      </c>
      <c r="DL93" s="5" t="s">
        <v>446</v>
      </c>
      <c r="DO93" s="7" t="s">
        <v>239</v>
      </c>
      <c r="DP93" s="44">
        <v>3.25</v>
      </c>
      <c r="DQ93" s="42">
        <v>1</v>
      </c>
      <c r="DR93" s="42">
        <v>6.5</v>
      </c>
      <c r="DS93" s="11">
        <f t="shared" si="78"/>
        <v>3.5</v>
      </c>
      <c r="DT93" s="11">
        <f t="shared" si="79"/>
        <v>1.6645820296198484</v>
      </c>
      <c r="EW93" s="8">
        <v>57.7</v>
      </c>
      <c r="EX93" s="8">
        <v>9</v>
      </c>
      <c r="EY93" s="41">
        <v>47.2</v>
      </c>
      <c r="EZ93" s="41">
        <v>9.3000000000000007</v>
      </c>
      <c r="FA93" s="41"/>
      <c r="FB93" s="41"/>
      <c r="FG93" s="41"/>
      <c r="FH93" s="41"/>
      <c r="FI93" s="41">
        <v>101.7</v>
      </c>
      <c r="FJ93" s="41">
        <v>12.3</v>
      </c>
      <c r="FK93" s="41">
        <v>150.5</v>
      </c>
      <c r="FL93" s="41">
        <v>49.2</v>
      </c>
      <c r="GQ93" s="41"/>
      <c r="GR93" s="41"/>
      <c r="GS93" s="41">
        <v>18.399999999999999</v>
      </c>
      <c r="GT93" s="41">
        <v>3.1</v>
      </c>
      <c r="GU93" s="41">
        <v>16.600000000000001</v>
      </c>
      <c r="GV93" s="41">
        <v>3.3</v>
      </c>
      <c r="GY93" s="41"/>
      <c r="GZ93" s="41"/>
      <c r="HA93" s="41"/>
      <c r="HB93" s="41"/>
      <c r="IM93" s="41"/>
      <c r="IN93" s="41"/>
      <c r="IO93" s="41">
        <v>2.7</v>
      </c>
      <c r="IP93" s="41">
        <v>3.5</v>
      </c>
      <c r="IQ93" s="41">
        <v>3.9</v>
      </c>
      <c r="IR93" s="41">
        <v>3.2</v>
      </c>
      <c r="IS93" s="41">
        <v>5.3</v>
      </c>
      <c r="IT93" s="41">
        <v>2.8</v>
      </c>
      <c r="IU93" s="8">
        <v>5.4</v>
      </c>
      <c r="IV93" s="8">
        <v>3.9</v>
      </c>
      <c r="JU93" s="7" t="s">
        <v>252</v>
      </c>
    </row>
    <row r="94" spans="1:281" s="8" customFormat="1" ht="20" customHeight="1" x14ac:dyDescent="0.2">
      <c r="A94" s="35">
        <v>43</v>
      </c>
      <c r="B94" s="7" t="s">
        <v>733</v>
      </c>
      <c r="C94" s="7" t="s">
        <v>440</v>
      </c>
      <c r="D94" s="7" t="s">
        <v>231</v>
      </c>
      <c r="E94" s="8">
        <v>21</v>
      </c>
      <c r="F94" s="8" t="s">
        <v>237</v>
      </c>
      <c r="G94" s="7" t="s">
        <v>237</v>
      </c>
      <c r="H94" s="7">
        <v>24431465</v>
      </c>
      <c r="I94" s="7" t="s">
        <v>959</v>
      </c>
      <c r="J94" s="7" t="s">
        <v>441</v>
      </c>
      <c r="K94" s="8">
        <v>2014</v>
      </c>
      <c r="L94" s="12" t="s">
        <v>442</v>
      </c>
      <c r="N94" s="7" t="s">
        <v>234</v>
      </c>
      <c r="O94" s="7" t="s">
        <v>449</v>
      </c>
      <c r="P94" s="36" t="s">
        <v>816</v>
      </c>
      <c r="Q94" s="36" t="s">
        <v>464</v>
      </c>
      <c r="R94" s="36"/>
      <c r="S94" s="36"/>
      <c r="T94" s="36"/>
      <c r="U94" s="36"/>
      <c r="V94" s="7" t="s">
        <v>236</v>
      </c>
      <c r="W94" s="7" t="s">
        <v>237</v>
      </c>
      <c r="X94" s="7" t="s">
        <v>284</v>
      </c>
      <c r="Y94" s="7" t="s">
        <v>828</v>
      </c>
      <c r="Z94" s="7" t="s">
        <v>237</v>
      </c>
      <c r="AB94" s="7" t="s">
        <v>237</v>
      </c>
      <c r="AC94" s="7" t="s">
        <v>930</v>
      </c>
      <c r="AD94" s="7" t="s">
        <v>239</v>
      </c>
      <c r="AE94" s="8" t="s">
        <v>560</v>
      </c>
      <c r="AF94" s="7" t="s">
        <v>239</v>
      </c>
      <c r="AG94" s="7" t="s">
        <v>240</v>
      </c>
      <c r="AH94" s="7" t="s">
        <v>239</v>
      </c>
      <c r="AI94" s="8">
        <v>30</v>
      </c>
      <c r="AK94" s="7" t="s">
        <v>239</v>
      </c>
      <c r="AL94" s="8">
        <v>6000</v>
      </c>
      <c r="AM94" s="7" t="s">
        <v>259</v>
      </c>
      <c r="AN94" s="7" t="s">
        <v>450</v>
      </c>
      <c r="AO94" s="7"/>
      <c r="AP94" s="7"/>
      <c r="AQ94" s="7"/>
      <c r="AR94" s="8">
        <v>48</v>
      </c>
      <c r="AS94" s="7"/>
      <c r="AT94" s="7"/>
      <c r="AU94" s="7"/>
      <c r="AV94" s="7"/>
      <c r="AX94" s="7" t="s">
        <v>244</v>
      </c>
      <c r="AY94" s="7" t="s">
        <v>245</v>
      </c>
      <c r="BB94" s="7" t="s">
        <v>246</v>
      </c>
      <c r="BC94" s="11">
        <v>7.01</v>
      </c>
      <c r="BD94" s="41">
        <v>1.2</v>
      </c>
      <c r="BE94" s="41"/>
      <c r="BF94" s="11">
        <v>8.31</v>
      </c>
      <c r="BG94" s="41">
        <v>0.9</v>
      </c>
      <c r="BH94" s="41"/>
      <c r="BI94" s="7" t="s">
        <v>451</v>
      </c>
      <c r="BJ94" s="8">
        <v>2</v>
      </c>
      <c r="BK94" s="5" t="str">
        <f t="shared" si="85"/>
        <v>Control_greater_than_case</v>
      </c>
      <c r="BP94" s="7" t="s">
        <v>237</v>
      </c>
      <c r="BR94" s="7" t="s">
        <v>262</v>
      </c>
      <c r="CG94" s="7" t="s">
        <v>239</v>
      </c>
      <c r="CH94" s="7" t="s">
        <v>240</v>
      </c>
      <c r="CJ94" s="7" t="s">
        <v>239</v>
      </c>
      <c r="CK94" s="7" t="s">
        <v>248</v>
      </c>
      <c r="CL94" s="8">
        <v>13</v>
      </c>
      <c r="CM94" s="8">
        <v>17</v>
      </c>
      <c r="CN94" s="7" t="s">
        <v>444</v>
      </c>
      <c r="CO94" s="7" t="s">
        <v>249</v>
      </c>
      <c r="CP94" s="7" t="s">
        <v>249</v>
      </c>
      <c r="CQ94" s="5" t="s">
        <v>445</v>
      </c>
      <c r="CU94" s="42">
        <v>43.6</v>
      </c>
      <c r="CV94" s="42">
        <v>9.6</v>
      </c>
      <c r="CW94" s="42">
        <v>39.700000000000003</v>
      </c>
      <c r="CX94" s="42">
        <v>11.1</v>
      </c>
      <c r="CY94" s="27">
        <f t="shared" si="80"/>
        <v>41.390000000000008</v>
      </c>
      <c r="CZ94" s="28">
        <f t="shared" si="81"/>
        <v>10.486982077959716</v>
      </c>
      <c r="DA94" s="7"/>
      <c r="DB94" s="29" t="str">
        <f t="shared" si="82"/>
        <v/>
      </c>
      <c r="DC94" s="8">
        <v>6</v>
      </c>
      <c r="DD94" s="29">
        <f t="shared" si="83"/>
        <v>35.294117647058826</v>
      </c>
      <c r="DE94" s="28" t="str">
        <f t="shared" si="84"/>
        <v/>
      </c>
      <c r="DG94" s="8">
        <f t="shared" si="86"/>
        <v>30</v>
      </c>
      <c r="DH94" s="7" t="s">
        <v>240</v>
      </c>
      <c r="DL94" s="5" t="s">
        <v>446</v>
      </c>
      <c r="DO94" s="7" t="s">
        <v>239</v>
      </c>
      <c r="DP94" s="44">
        <v>2.5</v>
      </c>
      <c r="DQ94" s="42">
        <v>1</v>
      </c>
      <c r="DR94" s="42">
        <v>6.5</v>
      </c>
      <c r="DS94" s="11">
        <f t="shared" si="78"/>
        <v>3.125</v>
      </c>
      <c r="DT94" s="11">
        <f t="shared" si="79"/>
        <v>2.0207259421636903</v>
      </c>
      <c r="EW94" s="8">
        <v>57.7</v>
      </c>
      <c r="EX94" s="8">
        <v>9</v>
      </c>
      <c r="EY94" s="41">
        <v>47.2</v>
      </c>
      <c r="EZ94" s="41">
        <v>9.3000000000000007</v>
      </c>
      <c r="FA94" s="41"/>
      <c r="FB94" s="41"/>
      <c r="FG94" s="41"/>
      <c r="FH94" s="41"/>
      <c r="FI94" s="41">
        <v>101.7</v>
      </c>
      <c r="FJ94" s="41">
        <v>12.3</v>
      </c>
      <c r="FK94" s="41">
        <v>141.5</v>
      </c>
      <c r="FL94" s="41">
        <v>51.2</v>
      </c>
      <c r="GQ94" s="41"/>
      <c r="GR94" s="41"/>
      <c r="GS94" s="41">
        <v>18.399999999999999</v>
      </c>
      <c r="GT94" s="41">
        <v>3.1</v>
      </c>
      <c r="GU94" s="41">
        <v>17.3</v>
      </c>
      <c r="GV94" s="41">
        <v>3.5</v>
      </c>
      <c r="GY94" s="41"/>
      <c r="GZ94" s="41"/>
      <c r="HA94" s="41"/>
      <c r="HB94" s="41"/>
      <c r="IM94" s="41"/>
      <c r="IN94" s="41"/>
      <c r="IO94" s="41">
        <v>2.7</v>
      </c>
      <c r="IP94" s="41">
        <v>3.5</v>
      </c>
      <c r="IQ94" s="41">
        <v>3.1</v>
      </c>
      <c r="IR94" s="41">
        <v>2.2000000000000002</v>
      </c>
      <c r="IS94" s="41">
        <v>5.3</v>
      </c>
      <c r="IT94" s="41">
        <v>2.8</v>
      </c>
      <c r="IU94" s="8">
        <v>6.2</v>
      </c>
      <c r="IV94" s="8">
        <v>3.9</v>
      </c>
      <c r="JU94" s="7" t="s">
        <v>252</v>
      </c>
    </row>
    <row r="95" spans="1:281" s="8" customFormat="1" ht="20" customHeight="1" x14ac:dyDescent="0.2">
      <c r="A95" s="35">
        <v>43</v>
      </c>
      <c r="B95" s="7" t="s">
        <v>734</v>
      </c>
      <c r="C95" s="7" t="s">
        <v>440</v>
      </c>
      <c r="D95" s="7" t="s">
        <v>231</v>
      </c>
      <c r="E95" s="8">
        <v>21</v>
      </c>
      <c r="F95" s="8" t="s">
        <v>237</v>
      </c>
      <c r="G95" s="7" t="s">
        <v>237</v>
      </c>
      <c r="H95" s="7">
        <v>24431465</v>
      </c>
      <c r="I95" s="7" t="s">
        <v>960</v>
      </c>
      <c r="J95" s="7" t="s">
        <v>441</v>
      </c>
      <c r="K95" s="8">
        <v>2014</v>
      </c>
      <c r="L95" s="12" t="s">
        <v>442</v>
      </c>
      <c r="N95" s="7" t="s">
        <v>234</v>
      </c>
      <c r="O95" s="7" t="s">
        <v>449</v>
      </c>
      <c r="P95" s="36" t="s">
        <v>816</v>
      </c>
      <c r="Q95" s="36" t="s">
        <v>464</v>
      </c>
      <c r="R95" s="36"/>
      <c r="S95" s="36"/>
      <c r="T95" s="36"/>
      <c r="U95" s="36"/>
      <c r="V95" s="7" t="s">
        <v>236</v>
      </c>
      <c r="W95" s="7" t="s">
        <v>237</v>
      </c>
      <c r="X95" s="7" t="s">
        <v>284</v>
      </c>
      <c r="Y95" s="7" t="s">
        <v>828</v>
      </c>
      <c r="Z95" s="7" t="s">
        <v>237</v>
      </c>
      <c r="AB95" s="7" t="s">
        <v>237</v>
      </c>
      <c r="AC95" s="7" t="s">
        <v>930</v>
      </c>
      <c r="AD95" s="7" t="s">
        <v>239</v>
      </c>
      <c r="AE95" s="8" t="s">
        <v>560</v>
      </c>
      <c r="AF95" s="7" t="s">
        <v>239</v>
      </c>
      <c r="AG95" s="7" t="s">
        <v>240</v>
      </c>
      <c r="AH95" s="7" t="s">
        <v>239</v>
      </c>
      <c r="AI95" s="8">
        <v>30</v>
      </c>
      <c r="AK95" s="7" t="s">
        <v>239</v>
      </c>
      <c r="AL95" s="8">
        <v>6000</v>
      </c>
      <c r="AM95" s="7" t="s">
        <v>259</v>
      </c>
      <c r="AN95" s="7" t="s">
        <v>450</v>
      </c>
      <c r="AO95" s="7"/>
      <c r="AP95" s="7"/>
      <c r="AQ95" s="7"/>
      <c r="AR95" s="8">
        <v>48</v>
      </c>
      <c r="AS95" s="7"/>
      <c r="AT95" s="7"/>
      <c r="AU95" s="7"/>
      <c r="AV95" s="7"/>
      <c r="AX95" s="7" t="s">
        <v>244</v>
      </c>
      <c r="AY95" s="7" t="s">
        <v>245</v>
      </c>
      <c r="BB95" s="7" t="s">
        <v>246</v>
      </c>
      <c r="BC95" s="11">
        <v>6.77</v>
      </c>
      <c r="BD95" s="41">
        <v>2.2999999999999998</v>
      </c>
      <c r="BE95" s="41"/>
      <c r="BF95" s="11">
        <v>8.31</v>
      </c>
      <c r="BG95" s="41">
        <v>0.9</v>
      </c>
      <c r="BH95" s="41"/>
      <c r="BI95" s="7" t="s">
        <v>451</v>
      </c>
      <c r="BJ95" s="8">
        <v>2</v>
      </c>
      <c r="BK95" s="5" t="str">
        <f t="shared" si="85"/>
        <v>Control_greater_than_case</v>
      </c>
      <c r="BP95" s="7" t="s">
        <v>237</v>
      </c>
      <c r="BR95" s="7" t="s">
        <v>262</v>
      </c>
      <c r="CG95" s="7" t="s">
        <v>239</v>
      </c>
      <c r="CH95" s="7" t="s">
        <v>240</v>
      </c>
      <c r="CJ95" s="7" t="s">
        <v>239</v>
      </c>
      <c r="CK95" s="7" t="s">
        <v>248</v>
      </c>
      <c r="CL95" s="8">
        <v>5</v>
      </c>
      <c r="CM95" s="8">
        <v>17</v>
      </c>
      <c r="CN95" s="7" t="s">
        <v>447</v>
      </c>
      <c r="CO95" s="7" t="s">
        <v>249</v>
      </c>
      <c r="CP95" s="7" t="s">
        <v>249</v>
      </c>
      <c r="CQ95" s="5" t="s">
        <v>448</v>
      </c>
      <c r="CU95" s="42">
        <v>43.2</v>
      </c>
      <c r="CV95" s="42">
        <v>4.7</v>
      </c>
      <c r="CW95" s="42">
        <v>39.700000000000003</v>
      </c>
      <c r="CX95" s="42">
        <v>11.1</v>
      </c>
      <c r="CY95" s="27">
        <f t="shared" si="80"/>
        <v>40.49545454545455</v>
      </c>
      <c r="CZ95" s="28">
        <f t="shared" si="81"/>
        <v>10.016770569434673</v>
      </c>
      <c r="DA95" s="7"/>
      <c r="DB95" s="29" t="str">
        <f t="shared" si="82"/>
        <v/>
      </c>
      <c r="DC95" s="8">
        <v>6</v>
      </c>
      <c r="DD95" s="29">
        <f t="shared" si="83"/>
        <v>35.294117647058826</v>
      </c>
      <c r="DE95" s="28" t="str">
        <f t="shared" si="84"/>
        <v/>
      </c>
      <c r="DG95" s="8">
        <f t="shared" si="86"/>
        <v>22</v>
      </c>
      <c r="DH95" s="7" t="s">
        <v>240</v>
      </c>
      <c r="DL95" s="5" t="s">
        <v>446</v>
      </c>
      <c r="DO95" s="7" t="s">
        <v>239</v>
      </c>
      <c r="DP95" s="44">
        <v>3.5</v>
      </c>
      <c r="DQ95" s="42">
        <v>2.5</v>
      </c>
      <c r="DR95" s="42">
        <v>6.5</v>
      </c>
      <c r="DS95" s="11">
        <f t="shared" si="78"/>
        <v>4</v>
      </c>
      <c r="DT95" s="11">
        <f t="shared" si="79"/>
        <v>1.5275252316519465</v>
      </c>
      <c r="EW95" s="8">
        <v>57.7</v>
      </c>
      <c r="EX95" s="8">
        <v>9</v>
      </c>
      <c r="EY95" s="41">
        <v>47.2</v>
      </c>
      <c r="EZ95" s="41">
        <v>9.3000000000000007</v>
      </c>
      <c r="FA95" s="41"/>
      <c r="FB95" s="41"/>
      <c r="FG95" s="41"/>
      <c r="FH95" s="41"/>
      <c r="FI95" s="41">
        <v>101.7</v>
      </c>
      <c r="FJ95" s="41">
        <v>12.3</v>
      </c>
      <c r="FK95" s="41">
        <v>170.4</v>
      </c>
      <c r="FL95" s="41">
        <v>41</v>
      </c>
      <c r="GQ95" s="41"/>
      <c r="GR95" s="41"/>
      <c r="GS95" s="41">
        <v>18.399999999999999</v>
      </c>
      <c r="GT95" s="41">
        <v>3.1</v>
      </c>
      <c r="GU95" s="41">
        <v>14.6</v>
      </c>
      <c r="GV95" s="41">
        <v>1.3</v>
      </c>
      <c r="GY95" s="41"/>
      <c r="GZ95" s="41"/>
      <c r="HA95" s="41"/>
      <c r="HB95" s="41"/>
      <c r="IM95" s="41"/>
      <c r="IN95" s="41"/>
      <c r="IO95" s="41">
        <v>2.7</v>
      </c>
      <c r="IP95" s="41">
        <v>3.5</v>
      </c>
      <c r="IQ95" s="41">
        <v>6</v>
      </c>
      <c r="IR95" s="41">
        <v>4.5999999999999996</v>
      </c>
      <c r="IS95" s="41">
        <v>5.3</v>
      </c>
      <c r="IT95" s="41">
        <v>2.8</v>
      </c>
      <c r="IU95" s="8">
        <v>3.6</v>
      </c>
      <c r="IV95" s="8">
        <v>3.6</v>
      </c>
      <c r="JU95" s="7" t="s">
        <v>252</v>
      </c>
    </row>
    <row r="96" spans="1:281" s="8" customFormat="1" ht="20" customHeight="1" x14ac:dyDescent="0.2">
      <c r="A96" s="35">
        <v>43</v>
      </c>
      <c r="B96" s="7" t="s">
        <v>735</v>
      </c>
      <c r="C96" s="7" t="s">
        <v>440</v>
      </c>
      <c r="D96" s="7" t="s">
        <v>231</v>
      </c>
      <c r="E96" s="8">
        <v>21</v>
      </c>
      <c r="F96" s="8" t="s">
        <v>237</v>
      </c>
      <c r="G96" s="7" t="s">
        <v>237</v>
      </c>
      <c r="H96" s="7">
        <v>24431465</v>
      </c>
      <c r="I96" s="7" t="s">
        <v>961</v>
      </c>
      <c r="J96" s="7" t="s">
        <v>441</v>
      </c>
      <c r="K96" s="8">
        <v>2014</v>
      </c>
      <c r="L96" s="12" t="s">
        <v>442</v>
      </c>
      <c r="N96" s="7" t="s">
        <v>234</v>
      </c>
      <c r="O96" s="7" t="s">
        <v>449</v>
      </c>
      <c r="P96" s="36" t="s">
        <v>816</v>
      </c>
      <c r="Q96" s="36" t="s">
        <v>464</v>
      </c>
      <c r="R96" s="36"/>
      <c r="S96" s="36"/>
      <c r="T96" s="36"/>
      <c r="U96" s="36"/>
      <c r="V96" s="7" t="s">
        <v>236</v>
      </c>
      <c r="W96" s="7" t="s">
        <v>237</v>
      </c>
      <c r="X96" s="7" t="s">
        <v>284</v>
      </c>
      <c r="Y96" s="7" t="s">
        <v>828</v>
      </c>
      <c r="Z96" s="7" t="s">
        <v>237</v>
      </c>
      <c r="AB96" s="7" t="s">
        <v>237</v>
      </c>
      <c r="AC96" s="7" t="s">
        <v>930</v>
      </c>
      <c r="AD96" s="7" t="s">
        <v>239</v>
      </c>
      <c r="AE96" s="8" t="s">
        <v>560</v>
      </c>
      <c r="AF96" s="7" t="s">
        <v>239</v>
      </c>
      <c r="AG96" s="7" t="s">
        <v>240</v>
      </c>
      <c r="AH96" s="7" t="s">
        <v>239</v>
      </c>
      <c r="AI96" s="8">
        <v>30</v>
      </c>
      <c r="AK96" s="7" t="s">
        <v>239</v>
      </c>
      <c r="AL96" s="8">
        <v>6000</v>
      </c>
      <c r="AM96" s="7" t="s">
        <v>259</v>
      </c>
      <c r="AN96" s="7" t="s">
        <v>450</v>
      </c>
      <c r="AO96" s="7"/>
      <c r="AP96" s="7"/>
      <c r="AQ96" s="7"/>
      <c r="AR96" s="8">
        <v>48</v>
      </c>
      <c r="AS96" s="38">
        <v>7.22</v>
      </c>
      <c r="AT96" s="42">
        <v>1.3</v>
      </c>
      <c r="AU96" s="38">
        <v>6.71</v>
      </c>
      <c r="AV96" s="42">
        <v>1.3</v>
      </c>
      <c r="AX96" s="7" t="s">
        <v>244</v>
      </c>
      <c r="AY96" s="7" t="s">
        <v>245</v>
      </c>
      <c r="BB96" s="7" t="s">
        <v>246</v>
      </c>
      <c r="BC96" s="11">
        <v>6.94</v>
      </c>
      <c r="BD96" s="41">
        <v>1.5</v>
      </c>
      <c r="BE96" s="41"/>
      <c r="BF96" s="11">
        <v>8.31</v>
      </c>
      <c r="BG96" s="41">
        <v>0.8</v>
      </c>
      <c r="BH96" s="41"/>
      <c r="BI96" s="7" t="s">
        <v>451</v>
      </c>
      <c r="BJ96" s="8">
        <v>2</v>
      </c>
      <c r="BK96" s="5" t="str">
        <f t="shared" si="85"/>
        <v>Control_greater_than_case</v>
      </c>
      <c r="BP96" s="7" t="s">
        <v>237</v>
      </c>
      <c r="BR96" s="7" t="s">
        <v>262</v>
      </c>
      <c r="CG96" s="7" t="s">
        <v>239</v>
      </c>
      <c r="CH96" s="7" t="s">
        <v>240</v>
      </c>
      <c r="CJ96" s="7" t="s">
        <v>239</v>
      </c>
      <c r="CK96" s="7" t="s">
        <v>248</v>
      </c>
      <c r="CL96" s="8">
        <v>18</v>
      </c>
      <c r="CM96" s="8">
        <v>17</v>
      </c>
      <c r="CN96" s="7" t="s">
        <v>249</v>
      </c>
      <c r="CO96" s="7" t="s">
        <v>249</v>
      </c>
      <c r="CP96" s="7" t="s">
        <v>249</v>
      </c>
      <c r="CQ96" s="5" t="s">
        <v>445</v>
      </c>
      <c r="CU96" s="42">
        <v>43.5</v>
      </c>
      <c r="CV96" s="42">
        <v>8.5</v>
      </c>
      <c r="CW96" s="42">
        <v>39.700000000000003</v>
      </c>
      <c r="CX96" s="42">
        <v>11.1</v>
      </c>
      <c r="CY96" s="27">
        <f t="shared" si="80"/>
        <v>41.65428571428572</v>
      </c>
      <c r="CZ96" s="28">
        <f t="shared" si="81"/>
        <v>9.8903649744451325</v>
      </c>
      <c r="DA96" s="7">
        <v>6</v>
      </c>
      <c r="DB96" s="29">
        <f t="shared" si="82"/>
        <v>33.333333333333329</v>
      </c>
      <c r="DC96" s="8">
        <v>6</v>
      </c>
      <c r="DD96" s="29">
        <f t="shared" si="83"/>
        <v>35.294117647058826</v>
      </c>
      <c r="DE96" s="28">
        <f t="shared" si="84"/>
        <v>34.285714285714285</v>
      </c>
      <c r="DG96" s="8">
        <f t="shared" si="86"/>
        <v>35</v>
      </c>
      <c r="DH96" s="7" t="s">
        <v>240</v>
      </c>
      <c r="DL96" s="5" t="s">
        <v>446</v>
      </c>
      <c r="DO96" s="7" t="s">
        <v>239</v>
      </c>
      <c r="DP96" s="44">
        <v>3.25</v>
      </c>
      <c r="DQ96" s="42">
        <v>1</v>
      </c>
      <c r="DR96" s="42">
        <v>6.5</v>
      </c>
      <c r="DS96" s="11">
        <f t="shared" si="78"/>
        <v>3.5</v>
      </c>
      <c r="DT96" s="11">
        <f t="shared" si="79"/>
        <v>1.6645820296198484</v>
      </c>
      <c r="EW96" s="8">
        <v>57.7</v>
      </c>
      <c r="EX96" s="8">
        <v>9</v>
      </c>
      <c r="EY96" s="41">
        <v>47.2</v>
      </c>
      <c r="EZ96" s="41">
        <v>9.3000000000000007</v>
      </c>
      <c r="FA96" s="41"/>
      <c r="FB96" s="41"/>
      <c r="FG96" s="41"/>
      <c r="FH96" s="41"/>
      <c r="FI96" s="41">
        <v>101.7</v>
      </c>
      <c r="FJ96" s="41">
        <v>12.3</v>
      </c>
      <c r="FK96" s="41">
        <v>150.5</v>
      </c>
      <c r="FL96" s="41">
        <v>49.2</v>
      </c>
      <c r="GQ96" s="41"/>
      <c r="GR96" s="41"/>
      <c r="GS96" s="41">
        <v>18.399999999999999</v>
      </c>
      <c r="GT96" s="41">
        <v>3.1</v>
      </c>
      <c r="GU96" s="41">
        <v>16.600000000000001</v>
      </c>
      <c r="GV96" s="41">
        <v>3.3</v>
      </c>
      <c r="GY96" s="41"/>
      <c r="GZ96" s="41"/>
      <c r="HA96" s="41"/>
      <c r="HB96" s="41"/>
      <c r="IM96" s="41"/>
      <c r="IN96" s="41"/>
      <c r="IO96" s="41">
        <v>2.7</v>
      </c>
      <c r="IP96" s="41">
        <v>3.5</v>
      </c>
      <c r="IQ96" s="41">
        <v>3.9</v>
      </c>
      <c r="IR96" s="41">
        <v>3.2</v>
      </c>
      <c r="IS96" s="41">
        <v>5.3</v>
      </c>
      <c r="IT96" s="41">
        <v>2.8</v>
      </c>
      <c r="IU96" s="8">
        <v>5.4</v>
      </c>
      <c r="IV96" s="8">
        <v>3.9</v>
      </c>
      <c r="JU96" s="7" t="s">
        <v>252</v>
      </c>
    </row>
    <row r="97" spans="1:281" s="8" customFormat="1" ht="20" customHeight="1" x14ac:dyDescent="0.2">
      <c r="A97" s="35">
        <v>43</v>
      </c>
      <c r="B97" s="7" t="s">
        <v>736</v>
      </c>
      <c r="C97" s="7" t="s">
        <v>440</v>
      </c>
      <c r="D97" s="7" t="s">
        <v>231</v>
      </c>
      <c r="E97" s="8">
        <v>21</v>
      </c>
      <c r="F97" s="8" t="s">
        <v>239</v>
      </c>
      <c r="G97" s="7" t="s">
        <v>237</v>
      </c>
      <c r="H97" s="7">
        <v>24431465</v>
      </c>
      <c r="I97" s="7" t="s">
        <v>962</v>
      </c>
      <c r="J97" s="7" t="s">
        <v>441</v>
      </c>
      <c r="K97" s="8">
        <v>2014</v>
      </c>
      <c r="L97" s="12" t="s">
        <v>442</v>
      </c>
      <c r="N97" s="7" t="s">
        <v>234</v>
      </c>
      <c r="O97" s="7" t="s">
        <v>452</v>
      </c>
      <c r="P97" s="36" t="s">
        <v>464</v>
      </c>
      <c r="Q97" s="36" t="s">
        <v>464</v>
      </c>
      <c r="R97" s="36"/>
      <c r="S97" s="36"/>
      <c r="T97" s="36"/>
      <c r="U97" s="36"/>
      <c r="V97" s="7" t="s">
        <v>236</v>
      </c>
      <c r="W97" s="7" t="s">
        <v>237</v>
      </c>
      <c r="X97" s="7" t="s">
        <v>284</v>
      </c>
      <c r="Y97" s="7" t="s">
        <v>828</v>
      </c>
      <c r="Z97" s="7" t="s">
        <v>237</v>
      </c>
      <c r="AB97" s="7" t="s">
        <v>237</v>
      </c>
      <c r="AC97" s="7" t="s">
        <v>931</v>
      </c>
      <c r="AD97" s="7" t="s">
        <v>239</v>
      </c>
      <c r="AE97" s="8" t="s">
        <v>560</v>
      </c>
      <c r="AF97" s="7" t="s">
        <v>239</v>
      </c>
      <c r="AG97" s="7" t="s">
        <v>240</v>
      </c>
      <c r="AH97" s="7" t="s">
        <v>239</v>
      </c>
      <c r="AI97" s="8">
        <v>30</v>
      </c>
      <c r="AK97" s="7" t="s">
        <v>239</v>
      </c>
      <c r="AL97" s="8">
        <v>6000</v>
      </c>
      <c r="AM97" s="7" t="s">
        <v>259</v>
      </c>
      <c r="AN97" s="7" t="s">
        <v>387</v>
      </c>
      <c r="AO97" s="7"/>
      <c r="AP97" s="7"/>
      <c r="AQ97" s="7"/>
      <c r="AR97" s="8">
        <v>48</v>
      </c>
      <c r="AS97" s="7"/>
      <c r="AT97" s="7"/>
      <c r="AU97" s="7"/>
      <c r="AV97" s="7"/>
      <c r="AX97" s="7" t="s">
        <v>253</v>
      </c>
      <c r="AY97" s="7" t="s">
        <v>245</v>
      </c>
      <c r="BB97" s="7" t="s">
        <v>246</v>
      </c>
      <c r="BC97" s="11">
        <v>6.38</v>
      </c>
      <c r="BD97" s="41">
        <v>0.9</v>
      </c>
      <c r="BE97" s="41"/>
      <c r="BF97" s="11">
        <v>7.43</v>
      </c>
      <c r="BG97" s="41">
        <v>0.7</v>
      </c>
      <c r="BH97" s="41"/>
      <c r="BI97" s="7" t="s">
        <v>451</v>
      </c>
      <c r="BJ97" s="8">
        <v>2</v>
      </c>
      <c r="BK97" s="5" t="str">
        <f t="shared" si="85"/>
        <v>Control_greater_than_case</v>
      </c>
      <c r="BP97" s="7" t="s">
        <v>237</v>
      </c>
      <c r="BR97" s="7" t="s">
        <v>262</v>
      </c>
      <c r="CG97" s="7" t="s">
        <v>239</v>
      </c>
      <c r="CH97" s="7" t="s">
        <v>240</v>
      </c>
      <c r="CJ97" s="7" t="s">
        <v>239</v>
      </c>
      <c r="CK97" s="7" t="s">
        <v>248</v>
      </c>
      <c r="CL97" s="8">
        <v>13</v>
      </c>
      <c r="CM97" s="8">
        <v>17</v>
      </c>
      <c r="CN97" s="7" t="s">
        <v>444</v>
      </c>
      <c r="CO97" s="7" t="s">
        <v>249</v>
      </c>
      <c r="CP97" s="7" t="s">
        <v>249</v>
      </c>
      <c r="CQ97" s="5" t="s">
        <v>445</v>
      </c>
      <c r="CU97" s="42">
        <v>43.6</v>
      </c>
      <c r="CV97" s="42">
        <v>9.6</v>
      </c>
      <c r="CW97" s="42">
        <v>39.700000000000003</v>
      </c>
      <c r="CX97" s="42">
        <v>11.1</v>
      </c>
      <c r="CY97" s="27">
        <f t="shared" si="80"/>
        <v>41.390000000000008</v>
      </c>
      <c r="CZ97" s="28">
        <f t="shared" si="81"/>
        <v>10.486982077959716</v>
      </c>
      <c r="DA97" s="7"/>
      <c r="DB97" s="29" t="str">
        <f t="shared" si="82"/>
        <v/>
      </c>
      <c r="DC97" s="8">
        <v>6</v>
      </c>
      <c r="DD97" s="29">
        <f t="shared" si="83"/>
        <v>35.294117647058826</v>
      </c>
      <c r="DE97" s="28" t="str">
        <f t="shared" si="84"/>
        <v/>
      </c>
      <c r="DG97" s="8">
        <f t="shared" si="86"/>
        <v>30</v>
      </c>
      <c r="DH97" s="7" t="s">
        <v>240</v>
      </c>
      <c r="DL97" s="5" t="s">
        <v>446</v>
      </c>
      <c r="DO97" s="7" t="s">
        <v>239</v>
      </c>
      <c r="DP97" s="44">
        <v>2.5</v>
      </c>
      <c r="DQ97" s="42">
        <v>1</v>
      </c>
      <c r="DR97" s="42">
        <v>6.5</v>
      </c>
      <c r="DS97" s="11">
        <f t="shared" si="78"/>
        <v>3.125</v>
      </c>
      <c r="DT97" s="11">
        <f t="shared" si="79"/>
        <v>2.0207259421636903</v>
      </c>
      <c r="EW97" s="8">
        <v>57.7</v>
      </c>
      <c r="EX97" s="8">
        <v>9</v>
      </c>
      <c r="EY97" s="41">
        <v>47.2</v>
      </c>
      <c r="EZ97" s="41">
        <v>9.3000000000000007</v>
      </c>
      <c r="FA97" s="41"/>
      <c r="FB97" s="41"/>
      <c r="FG97" s="41"/>
      <c r="FH97" s="41"/>
      <c r="FI97" s="41">
        <v>101.7</v>
      </c>
      <c r="FJ97" s="41">
        <v>12.3</v>
      </c>
      <c r="FK97" s="41">
        <v>141.5</v>
      </c>
      <c r="FL97" s="41">
        <v>51.2</v>
      </c>
      <c r="GQ97" s="41"/>
      <c r="GR97" s="41"/>
      <c r="GS97" s="41">
        <v>18.399999999999999</v>
      </c>
      <c r="GT97" s="41">
        <v>3.1</v>
      </c>
      <c r="GU97" s="41">
        <v>17.3</v>
      </c>
      <c r="GV97" s="41">
        <v>3.5</v>
      </c>
      <c r="GY97" s="41"/>
      <c r="GZ97" s="41"/>
      <c r="HA97" s="41"/>
      <c r="HB97" s="41"/>
      <c r="IM97" s="41"/>
      <c r="IN97" s="41"/>
      <c r="IO97" s="41">
        <v>2.7</v>
      </c>
      <c r="IP97" s="41">
        <v>3.5</v>
      </c>
      <c r="IQ97" s="41">
        <v>3.1</v>
      </c>
      <c r="IR97" s="41">
        <v>2.2000000000000002</v>
      </c>
      <c r="IS97" s="41">
        <v>5.3</v>
      </c>
      <c r="IT97" s="41">
        <v>2.8</v>
      </c>
      <c r="IU97" s="8">
        <v>6.2</v>
      </c>
      <c r="IV97" s="8">
        <v>3.9</v>
      </c>
      <c r="JU97" s="7" t="s">
        <v>252</v>
      </c>
    </row>
    <row r="98" spans="1:281" s="8" customFormat="1" ht="20" customHeight="1" x14ac:dyDescent="0.2">
      <c r="A98" s="35">
        <v>43</v>
      </c>
      <c r="B98" s="7" t="s">
        <v>737</v>
      </c>
      <c r="C98" s="7" t="s">
        <v>440</v>
      </c>
      <c r="D98" s="7" t="s">
        <v>231</v>
      </c>
      <c r="E98" s="8">
        <v>21</v>
      </c>
      <c r="F98" s="8" t="s">
        <v>239</v>
      </c>
      <c r="G98" s="7" t="s">
        <v>237</v>
      </c>
      <c r="H98" s="7">
        <v>24431465</v>
      </c>
      <c r="I98" s="7" t="s">
        <v>963</v>
      </c>
      <c r="J98" s="7" t="s">
        <v>441</v>
      </c>
      <c r="K98" s="8">
        <v>2014</v>
      </c>
      <c r="L98" s="12" t="s">
        <v>442</v>
      </c>
      <c r="N98" s="7" t="s">
        <v>234</v>
      </c>
      <c r="O98" s="7" t="s">
        <v>452</v>
      </c>
      <c r="P98" s="36" t="s">
        <v>464</v>
      </c>
      <c r="Q98" s="36" t="s">
        <v>464</v>
      </c>
      <c r="R98" s="36"/>
      <c r="S98" s="36"/>
      <c r="T98" s="36"/>
      <c r="U98" s="36"/>
      <c r="V98" s="7" t="s">
        <v>236</v>
      </c>
      <c r="W98" s="7" t="s">
        <v>237</v>
      </c>
      <c r="X98" s="7" t="s">
        <v>284</v>
      </c>
      <c r="Y98" s="7" t="s">
        <v>828</v>
      </c>
      <c r="Z98" s="7" t="s">
        <v>237</v>
      </c>
      <c r="AB98" s="7" t="s">
        <v>237</v>
      </c>
      <c r="AC98" s="7" t="s">
        <v>931</v>
      </c>
      <c r="AD98" s="7" t="s">
        <v>239</v>
      </c>
      <c r="AE98" s="8" t="s">
        <v>560</v>
      </c>
      <c r="AF98" s="7" t="s">
        <v>239</v>
      </c>
      <c r="AG98" s="7" t="s">
        <v>240</v>
      </c>
      <c r="AH98" s="7" t="s">
        <v>239</v>
      </c>
      <c r="AI98" s="8">
        <v>30</v>
      </c>
      <c r="AK98" s="7" t="s">
        <v>239</v>
      </c>
      <c r="AL98" s="8">
        <v>6000</v>
      </c>
      <c r="AM98" s="7" t="s">
        <v>259</v>
      </c>
      <c r="AN98" s="7" t="s">
        <v>387</v>
      </c>
      <c r="AO98" s="7"/>
      <c r="AP98" s="7"/>
      <c r="AQ98" s="7"/>
      <c r="AR98" s="8">
        <v>48</v>
      </c>
      <c r="AS98" s="7"/>
      <c r="AT98" s="7"/>
      <c r="AU98" s="7"/>
      <c r="AV98" s="7"/>
      <c r="AX98" s="7" t="s">
        <v>253</v>
      </c>
      <c r="AY98" s="7" t="s">
        <v>245</v>
      </c>
      <c r="BB98" s="7" t="s">
        <v>246</v>
      </c>
      <c r="BC98" s="11">
        <v>6.1</v>
      </c>
      <c r="BD98" s="41">
        <v>1.7</v>
      </c>
      <c r="BE98" s="41"/>
      <c r="BF98" s="11">
        <v>7.43</v>
      </c>
      <c r="BG98" s="41">
        <v>0.7</v>
      </c>
      <c r="BH98" s="41"/>
      <c r="BI98" s="7">
        <v>5.8999999999999997E-2</v>
      </c>
      <c r="BJ98" s="8">
        <v>2</v>
      </c>
      <c r="BK98" s="5" t="str">
        <f t="shared" si="85"/>
        <v>Control_greater_than_case</v>
      </c>
      <c r="BP98" s="7" t="s">
        <v>237</v>
      </c>
      <c r="BR98" s="7" t="s">
        <v>262</v>
      </c>
      <c r="CG98" s="7" t="s">
        <v>239</v>
      </c>
      <c r="CH98" s="7" t="s">
        <v>240</v>
      </c>
      <c r="CJ98" s="7" t="s">
        <v>239</v>
      </c>
      <c r="CK98" s="7" t="s">
        <v>248</v>
      </c>
      <c r="CL98" s="8">
        <v>5</v>
      </c>
      <c r="CM98" s="8">
        <v>17</v>
      </c>
      <c r="CN98" s="7" t="s">
        <v>447</v>
      </c>
      <c r="CO98" s="7" t="s">
        <v>249</v>
      </c>
      <c r="CP98" s="7" t="s">
        <v>249</v>
      </c>
      <c r="CQ98" s="5" t="s">
        <v>448</v>
      </c>
      <c r="CU98" s="42">
        <v>43.2</v>
      </c>
      <c r="CV98" s="42">
        <v>4.7</v>
      </c>
      <c r="CW98" s="42">
        <v>39.700000000000003</v>
      </c>
      <c r="CX98" s="42">
        <v>11.1</v>
      </c>
      <c r="CY98" s="27">
        <f t="shared" si="80"/>
        <v>40.49545454545455</v>
      </c>
      <c r="CZ98" s="28">
        <f t="shared" si="81"/>
        <v>10.016770569434673</v>
      </c>
      <c r="DA98" s="7"/>
      <c r="DB98" s="29" t="str">
        <f t="shared" si="82"/>
        <v/>
      </c>
      <c r="DC98" s="8">
        <v>6</v>
      </c>
      <c r="DD98" s="29">
        <f t="shared" si="83"/>
        <v>35.294117647058826</v>
      </c>
      <c r="DE98" s="28" t="str">
        <f t="shared" si="84"/>
        <v/>
      </c>
      <c r="DG98" s="8">
        <f t="shared" si="86"/>
        <v>22</v>
      </c>
      <c r="DH98" s="7" t="s">
        <v>240</v>
      </c>
      <c r="DL98" s="5" t="s">
        <v>446</v>
      </c>
      <c r="DO98" s="7" t="s">
        <v>239</v>
      </c>
      <c r="DP98" s="44">
        <v>3.5</v>
      </c>
      <c r="DQ98" s="42">
        <v>2.5</v>
      </c>
      <c r="DR98" s="42">
        <v>6.5</v>
      </c>
      <c r="DS98" s="11">
        <f t="shared" si="78"/>
        <v>4</v>
      </c>
      <c r="DT98" s="11">
        <f t="shared" si="79"/>
        <v>1.5275252316519465</v>
      </c>
      <c r="EW98" s="8">
        <v>57.7</v>
      </c>
      <c r="EX98" s="8">
        <v>9</v>
      </c>
      <c r="EY98" s="41">
        <v>47.2</v>
      </c>
      <c r="EZ98" s="41">
        <v>9.3000000000000007</v>
      </c>
      <c r="FA98" s="41"/>
      <c r="FB98" s="41"/>
      <c r="FG98" s="41"/>
      <c r="FH98" s="41"/>
      <c r="FI98" s="41">
        <v>101.7</v>
      </c>
      <c r="FJ98" s="41">
        <v>12.3</v>
      </c>
      <c r="FK98" s="41">
        <v>170.4</v>
      </c>
      <c r="FL98" s="41">
        <v>41</v>
      </c>
      <c r="GQ98" s="41"/>
      <c r="GR98" s="41"/>
      <c r="GS98" s="41">
        <v>18.399999999999999</v>
      </c>
      <c r="GT98" s="41">
        <v>3.1</v>
      </c>
      <c r="GU98" s="41">
        <v>14.6</v>
      </c>
      <c r="GV98" s="41">
        <v>1.3</v>
      </c>
      <c r="GY98" s="41"/>
      <c r="GZ98" s="41"/>
      <c r="HA98" s="41"/>
      <c r="HB98" s="41"/>
      <c r="IM98" s="41"/>
      <c r="IN98" s="41"/>
      <c r="IO98" s="41">
        <v>2.7</v>
      </c>
      <c r="IP98" s="41">
        <v>3.5</v>
      </c>
      <c r="IQ98" s="41">
        <v>6</v>
      </c>
      <c r="IR98" s="41">
        <v>4.5999999999999996</v>
      </c>
      <c r="IS98" s="41">
        <v>5.3</v>
      </c>
      <c r="IT98" s="41">
        <v>2.8</v>
      </c>
      <c r="IU98" s="8">
        <v>3.6</v>
      </c>
      <c r="IV98" s="8">
        <v>3.6</v>
      </c>
      <c r="JU98" s="7" t="s">
        <v>252</v>
      </c>
    </row>
    <row r="99" spans="1:281" s="8" customFormat="1" ht="20" customHeight="1" x14ac:dyDescent="0.2">
      <c r="A99" s="35">
        <v>43</v>
      </c>
      <c r="B99" s="7" t="s">
        <v>738</v>
      </c>
      <c r="C99" s="7" t="s">
        <v>440</v>
      </c>
      <c r="D99" s="7" t="s">
        <v>231</v>
      </c>
      <c r="E99" s="8">
        <v>21</v>
      </c>
      <c r="F99" s="8" t="s">
        <v>237</v>
      </c>
      <c r="G99" s="7" t="s">
        <v>237</v>
      </c>
      <c r="H99" s="7">
        <v>24431465</v>
      </c>
      <c r="I99" s="7" t="s">
        <v>964</v>
      </c>
      <c r="J99" s="7" t="s">
        <v>441</v>
      </c>
      <c r="K99" s="8">
        <v>2014</v>
      </c>
      <c r="L99" s="12" t="s">
        <v>442</v>
      </c>
      <c r="N99" s="7" t="s">
        <v>234</v>
      </c>
      <c r="O99" s="7" t="s">
        <v>452</v>
      </c>
      <c r="P99" s="36" t="s">
        <v>464</v>
      </c>
      <c r="Q99" s="36" t="s">
        <v>464</v>
      </c>
      <c r="R99" s="36"/>
      <c r="S99" s="36"/>
      <c r="T99" s="36"/>
      <c r="U99" s="36"/>
      <c r="V99" s="7" t="s">
        <v>236</v>
      </c>
      <c r="W99" s="7" t="s">
        <v>237</v>
      </c>
      <c r="X99" s="7" t="s">
        <v>284</v>
      </c>
      <c r="Y99" s="7" t="s">
        <v>828</v>
      </c>
      <c r="Z99" s="7" t="s">
        <v>237</v>
      </c>
      <c r="AB99" s="7" t="s">
        <v>237</v>
      </c>
      <c r="AC99" s="7" t="s">
        <v>931</v>
      </c>
      <c r="AD99" s="7" t="s">
        <v>239</v>
      </c>
      <c r="AE99" s="8" t="s">
        <v>560</v>
      </c>
      <c r="AF99" s="7" t="s">
        <v>239</v>
      </c>
      <c r="AG99" s="7" t="s">
        <v>240</v>
      </c>
      <c r="AH99" s="7" t="s">
        <v>239</v>
      </c>
      <c r="AI99" s="8">
        <v>30</v>
      </c>
      <c r="AK99" s="7" t="s">
        <v>239</v>
      </c>
      <c r="AL99" s="8">
        <v>6000</v>
      </c>
      <c r="AM99" s="7" t="s">
        <v>259</v>
      </c>
      <c r="AN99" s="7" t="s">
        <v>387</v>
      </c>
      <c r="AO99" s="7"/>
      <c r="AP99" s="7"/>
      <c r="AQ99" s="7"/>
      <c r="AR99" s="8">
        <v>48</v>
      </c>
      <c r="AS99" s="38">
        <v>5.89</v>
      </c>
      <c r="AT99" s="42">
        <v>1.5</v>
      </c>
      <c r="AU99" s="38">
        <v>5.35</v>
      </c>
      <c r="AV99" s="42">
        <v>0.9</v>
      </c>
      <c r="AX99" s="7" t="s">
        <v>253</v>
      </c>
      <c r="AY99" s="7" t="s">
        <v>245</v>
      </c>
      <c r="BB99" s="7" t="s">
        <v>246</v>
      </c>
      <c r="BC99" s="11">
        <v>6.3</v>
      </c>
      <c r="BD99" s="41">
        <v>1.1000000000000001</v>
      </c>
      <c r="BE99" s="41"/>
      <c r="BF99" s="11">
        <v>7.44</v>
      </c>
      <c r="BG99" s="41">
        <v>0.7</v>
      </c>
      <c r="BH99" s="41"/>
      <c r="BI99" s="7" t="s">
        <v>451</v>
      </c>
      <c r="BJ99" s="8">
        <v>2</v>
      </c>
      <c r="BK99" s="5" t="str">
        <f t="shared" si="85"/>
        <v>Control_greater_than_case</v>
      </c>
      <c r="BP99" s="7" t="s">
        <v>237</v>
      </c>
      <c r="BR99" s="7" t="s">
        <v>262</v>
      </c>
      <c r="CG99" s="7" t="s">
        <v>239</v>
      </c>
      <c r="CH99" s="7" t="s">
        <v>240</v>
      </c>
      <c r="CJ99" s="7" t="s">
        <v>239</v>
      </c>
      <c r="CK99" s="7" t="s">
        <v>248</v>
      </c>
      <c r="CL99" s="8">
        <v>18</v>
      </c>
      <c r="CM99" s="8">
        <v>17</v>
      </c>
      <c r="CN99" s="7" t="s">
        <v>249</v>
      </c>
      <c r="CO99" s="7" t="s">
        <v>249</v>
      </c>
      <c r="CP99" s="7" t="s">
        <v>249</v>
      </c>
      <c r="CQ99" s="5" t="s">
        <v>445</v>
      </c>
      <c r="CU99" s="42">
        <v>43.5</v>
      </c>
      <c r="CV99" s="42">
        <v>8.5</v>
      </c>
      <c r="CW99" s="42">
        <v>39.700000000000003</v>
      </c>
      <c r="CX99" s="42">
        <v>11.1</v>
      </c>
      <c r="CY99" s="27">
        <f t="shared" si="80"/>
        <v>41.65428571428572</v>
      </c>
      <c r="CZ99" s="28">
        <f t="shared" si="81"/>
        <v>9.8903649744451325</v>
      </c>
      <c r="DA99" s="7">
        <v>6</v>
      </c>
      <c r="DB99" s="29">
        <f t="shared" si="82"/>
        <v>33.333333333333329</v>
      </c>
      <c r="DC99" s="8">
        <v>6</v>
      </c>
      <c r="DD99" s="29">
        <f t="shared" si="83"/>
        <v>35.294117647058826</v>
      </c>
      <c r="DE99" s="28">
        <f t="shared" si="84"/>
        <v>34.285714285714285</v>
      </c>
      <c r="DG99" s="8">
        <f t="shared" si="86"/>
        <v>35</v>
      </c>
      <c r="DH99" s="7" t="s">
        <v>240</v>
      </c>
      <c r="DL99" s="5" t="s">
        <v>446</v>
      </c>
      <c r="DO99" s="7" t="s">
        <v>239</v>
      </c>
      <c r="DP99" s="44">
        <v>3.25</v>
      </c>
      <c r="DQ99" s="42">
        <v>1</v>
      </c>
      <c r="DR99" s="42">
        <v>6.5</v>
      </c>
      <c r="DS99" s="11">
        <f t="shared" si="78"/>
        <v>3.5</v>
      </c>
      <c r="DT99" s="11">
        <f t="shared" si="79"/>
        <v>1.6645820296198484</v>
      </c>
      <c r="EW99" s="8">
        <v>57.7</v>
      </c>
      <c r="EX99" s="8">
        <v>9</v>
      </c>
      <c r="EY99" s="41">
        <v>47.2</v>
      </c>
      <c r="EZ99" s="41">
        <v>9.3000000000000007</v>
      </c>
      <c r="FA99" s="41"/>
      <c r="FB99" s="41"/>
      <c r="FG99" s="41"/>
      <c r="FH99" s="41"/>
      <c r="FI99" s="41">
        <v>101.7</v>
      </c>
      <c r="FJ99" s="41">
        <v>12.3</v>
      </c>
      <c r="FK99" s="41">
        <v>150.5</v>
      </c>
      <c r="FL99" s="41">
        <v>49.2</v>
      </c>
      <c r="GQ99" s="41"/>
      <c r="GR99" s="41"/>
      <c r="GS99" s="41">
        <v>18.399999999999999</v>
      </c>
      <c r="GT99" s="41">
        <v>3.1</v>
      </c>
      <c r="GU99" s="41">
        <v>16.600000000000001</v>
      </c>
      <c r="GV99" s="41">
        <v>3.3</v>
      </c>
      <c r="GY99" s="41"/>
      <c r="GZ99" s="41"/>
      <c r="HA99" s="41"/>
      <c r="HB99" s="41"/>
      <c r="IM99" s="41"/>
      <c r="IN99" s="41"/>
      <c r="IO99" s="41">
        <v>2.7</v>
      </c>
      <c r="IP99" s="41">
        <v>3.5</v>
      </c>
      <c r="IQ99" s="41">
        <v>3.9</v>
      </c>
      <c r="IR99" s="41">
        <v>3.2</v>
      </c>
      <c r="IS99" s="41">
        <v>5.3</v>
      </c>
      <c r="IT99" s="41">
        <v>2.8</v>
      </c>
      <c r="IU99" s="8">
        <v>5.4</v>
      </c>
      <c r="IV99" s="8">
        <v>3.9</v>
      </c>
      <c r="JU99" s="7" t="s">
        <v>252</v>
      </c>
    </row>
    <row r="100" spans="1:281" s="8" customFormat="1" ht="20" customHeight="1" x14ac:dyDescent="0.2">
      <c r="A100" s="35">
        <v>43</v>
      </c>
      <c r="B100" s="7" t="s">
        <v>739</v>
      </c>
      <c r="C100" s="7" t="s">
        <v>440</v>
      </c>
      <c r="D100" s="7" t="s">
        <v>231</v>
      </c>
      <c r="E100" s="8">
        <v>21</v>
      </c>
      <c r="F100" s="8" t="s">
        <v>237</v>
      </c>
      <c r="G100" s="7" t="s">
        <v>237</v>
      </c>
      <c r="H100" s="7">
        <v>24431465</v>
      </c>
      <c r="I100" s="7" t="s">
        <v>965</v>
      </c>
      <c r="J100" s="7" t="s">
        <v>441</v>
      </c>
      <c r="K100" s="8">
        <v>2014</v>
      </c>
      <c r="L100" s="12" t="s">
        <v>442</v>
      </c>
      <c r="N100" s="7" t="s">
        <v>234</v>
      </c>
      <c r="O100" s="7" t="s">
        <v>452</v>
      </c>
      <c r="P100" s="36" t="s">
        <v>464</v>
      </c>
      <c r="Q100" s="36" t="s">
        <v>464</v>
      </c>
      <c r="R100" s="36"/>
      <c r="S100" s="36"/>
      <c r="T100" s="36"/>
      <c r="U100" s="36"/>
      <c r="V100" s="7" t="s">
        <v>236</v>
      </c>
      <c r="W100" s="7" t="s">
        <v>237</v>
      </c>
      <c r="X100" s="7" t="s">
        <v>284</v>
      </c>
      <c r="Y100" s="7" t="s">
        <v>828</v>
      </c>
      <c r="Z100" s="7" t="s">
        <v>237</v>
      </c>
      <c r="AB100" s="7" t="s">
        <v>237</v>
      </c>
      <c r="AC100" s="7" t="s">
        <v>931</v>
      </c>
      <c r="AD100" s="7" t="s">
        <v>239</v>
      </c>
      <c r="AE100" s="8" t="s">
        <v>560</v>
      </c>
      <c r="AF100" s="7" t="s">
        <v>239</v>
      </c>
      <c r="AG100" s="7" t="s">
        <v>240</v>
      </c>
      <c r="AH100" s="7" t="s">
        <v>239</v>
      </c>
      <c r="AI100" s="8">
        <v>30</v>
      </c>
      <c r="AK100" s="7" t="s">
        <v>239</v>
      </c>
      <c r="AL100" s="8">
        <v>6000</v>
      </c>
      <c r="AM100" s="7" t="s">
        <v>259</v>
      </c>
      <c r="AN100" s="7" t="s">
        <v>387</v>
      </c>
      <c r="AO100" s="7"/>
      <c r="AP100" s="7"/>
      <c r="AQ100" s="7"/>
      <c r="AR100" s="8">
        <v>48</v>
      </c>
      <c r="AS100" s="7"/>
      <c r="AT100" s="7"/>
      <c r="AU100" s="7"/>
      <c r="AV100" s="7"/>
      <c r="AX100" s="7" t="s">
        <v>244</v>
      </c>
      <c r="AY100" s="7" t="s">
        <v>245</v>
      </c>
      <c r="BB100" s="7" t="s">
        <v>246</v>
      </c>
      <c r="BC100" s="11">
        <v>7.28</v>
      </c>
      <c r="BD100" s="41">
        <v>1</v>
      </c>
      <c r="BE100" s="41"/>
      <c r="BF100" s="11">
        <v>8.49</v>
      </c>
      <c r="BG100" s="41">
        <v>0.8</v>
      </c>
      <c r="BH100" s="41"/>
      <c r="BI100" s="7" t="s">
        <v>451</v>
      </c>
      <c r="BJ100" s="8">
        <v>2</v>
      </c>
      <c r="BK100" s="5" t="str">
        <f t="shared" si="85"/>
        <v>Control_greater_than_case</v>
      </c>
      <c r="BP100" s="7" t="s">
        <v>237</v>
      </c>
      <c r="BR100" s="7" t="s">
        <v>262</v>
      </c>
      <c r="CG100" s="7" t="s">
        <v>239</v>
      </c>
      <c r="CH100" s="7" t="s">
        <v>240</v>
      </c>
      <c r="CJ100" s="7" t="s">
        <v>239</v>
      </c>
      <c r="CK100" s="7" t="s">
        <v>248</v>
      </c>
      <c r="CL100" s="8">
        <v>13</v>
      </c>
      <c r="CM100" s="8">
        <v>17</v>
      </c>
      <c r="CN100" s="7" t="s">
        <v>444</v>
      </c>
      <c r="CO100" s="7" t="s">
        <v>249</v>
      </c>
      <c r="CP100" s="7" t="s">
        <v>249</v>
      </c>
      <c r="CQ100" s="5" t="s">
        <v>445</v>
      </c>
      <c r="CU100" s="42">
        <v>43.6</v>
      </c>
      <c r="CV100" s="42">
        <v>9.6</v>
      </c>
      <c r="CW100" s="42">
        <v>39.700000000000003</v>
      </c>
      <c r="CX100" s="42">
        <v>11.1</v>
      </c>
      <c r="CY100" s="27">
        <f t="shared" si="80"/>
        <v>41.390000000000008</v>
      </c>
      <c r="CZ100" s="28">
        <f t="shared" si="81"/>
        <v>10.486982077959716</v>
      </c>
      <c r="DA100" s="7"/>
      <c r="DB100" s="29" t="str">
        <f t="shared" si="82"/>
        <v/>
      </c>
      <c r="DC100" s="8">
        <v>6</v>
      </c>
      <c r="DD100" s="29">
        <f t="shared" si="83"/>
        <v>35.294117647058826</v>
      </c>
      <c r="DE100" s="28" t="str">
        <f t="shared" si="84"/>
        <v/>
      </c>
      <c r="DG100" s="8">
        <f t="shared" si="86"/>
        <v>30</v>
      </c>
      <c r="DH100" s="7" t="s">
        <v>240</v>
      </c>
      <c r="DL100" s="5" t="s">
        <v>446</v>
      </c>
      <c r="DO100" s="7" t="s">
        <v>239</v>
      </c>
      <c r="DP100" s="44">
        <v>2.5</v>
      </c>
      <c r="DQ100" s="42">
        <v>1</v>
      </c>
      <c r="DR100" s="42">
        <v>6.5</v>
      </c>
      <c r="DS100" s="11">
        <f t="shared" si="78"/>
        <v>3.125</v>
      </c>
      <c r="DT100" s="11">
        <f t="shared" si="79"/>
        <v>2.0207259421636903</v>
      </c>
      <c r="EW100" s="8">
        <v>57.7</v>
      </c>
      <c r="EX100" s="8">
        <v>9</v>
      </c>
      <c r="EY100" s="41">
        <v>47.2</v>
      </c>
      <c r="EZ100" s="41">
        <v>9.3000000000000007</v>
      </c>
      <c r="FA100" s="41"/>
      <c r="FB100" s="41"/>
      <c r="FG100" s="41"/>
      <c r="FH100" s="41"/>
      <c r="FI100" s="41">
        <v>101.7</v>
      </c>
      <c r="FJ100" s="41">
        <v>12.3</v>
      </c>
      <c r="FK100" s="41">
        <v>141.5</v>
      </c>
      <c r="FL100" s="41">
        <v>51.2</v>
      </c>
      <c r="GQ100" s="41"/>
      <c r="GR100" s="41"/>
      <c r="GS100" s="41">
        <v>18.399999999999999</v>
      </c>
      <c r="GT100" s="41">
        <v>3.1</v>
      </c>
      <c r="GU100" s="41">
        <v>17.3</v>
      </c>
      <c r="GV100" s="41">
        <v>3.5</v>
      </c>
      <c r="GY100" s="41"/>
      <c r="GZ100" s="41"/>
      <c r="HA100" s="41"/>
      <c r="HB100" s="41"/>
      <c r="IM100" s="41"/>
      <c r="IN100" s="41"/>
      <c r="IO100" s="41">
        <v>2.7</v>
      </c>
      <c r="IP100" s="41">
        <v>3.5</v>
      </c>
      <c r="IQ100" s="41">
        <v>3.1</v>
      </c>
      <c r="IR100" s="41">
        <v>2.2000000000000002</v>
      </c>
      <c r="IS100" s="41">
        <v>5.3</v>
      </c>
      <c r="IT100" s="41">
        <v>2.8</v>
      </c>
      <c r="IU100" s="8">
        <v>6.2</v>
      </c>
      <c r="IV100" s="8">
        <v>3.9</v>
      </c>
      <c r="JU100" s="7" t="s">
        <v>252</v>
      </c>
    </row>
    <row r="101" spans="1:281" s="8" customFormat="1" ht="20" customHeight="1" x14ac:dyDescent="0.2">
      <c r="A101" s="35">
        <v>43</v>
      </c>
      <c r="B101" s="7" t="s">
        <v>740</v>
      </c>
      <c r="C101" s="7" t="s">
        <v>440</v>
      </c>
      <c r="D101" s="7" t="s">
        <v>231</v>
      </c>
      <c r="E101" s="8">
        <v>21</v>
      </c>
      <c r="F101" s="8" t="s">
        <v>237</v>
      </c>
      <c r="G101" s="7" t="s">
        <v>237</v>
      </c>
      <c r="H101" s="7">
        <v>24431465</v>
      </c>
      <c r="I101" s="7" t="s">
        <v>966</v>
      </c>
      <c r="J101" s="7" t="s">
        <v>441</v>
      </c>
      <c r="K101" s="8">
        <v>2014</v>
      </c>
      <c r="L101" s="12" t="s">
        <v>442</v>
      </c>
      <c r="N101" s="7" t="s">
        <v>234</v>
      </c>
      <c r="O101" s="7" t="s">
        <v>452</v>
      </c>
      <c r="P101" s="36" t="s">
        <v>464</v>
      </c>
      <c r="Q101" s="36" t="s">
        <v>464</v>
      </c>
      <c r="R101" s="36"/>
      <c r="S101" s="36"/>
      <c r="T101" s="36"/>
      <c r="U101" s="36"/>
      <c r="V101" s="7" t="s">
        <v>236</v>
      </c>
      <c r="W101" s="7" t="s">
        <v>237</v>
      </c>
      <c r="X101" s="7" t="s">
        <v>284</v>
      </c>
      <c r="Y101" s="7" t="s">
        <v>828</v>
      </c>
      <c r="Z101" s="7" t="s">
        <v>237</v>
      </c>
      <c r="AB101" s="7" t="s">
        <v>237</v>
      </c>
      <c r="AC101" s="7" t="s">
        <v>931</v>
      </c>
      <c r="AD101" s="7" t="s">
        <v>239</v>
      </c>
      <c r="AE101" s="8" t="s">
        <v>560</v>
      </c>
      <c r="AF101" s="7" t="s">
        <v>239</v>
      </c>
      <c r="AG101" s="7" t="s">
        <v>240</v>
      </c>
      <c r="AH101" s="7" t="s">
        <v>239</v>
      </c>
      <c r="AI101" s="8">
        <v>30</v>
      </c>
      <c r="AK101" s="7" t="s">
        <v>239</v>
      </c>
      <c r="AL101" s="8">
        <v>6000</v>
      </c>
      <c r="AM101" s="7" t="s">
        <v>259</v>
      </c>
      <c r="AN101" s="7" t="s">
        <v>387</v>
      </c>
      <c r="AO101" s="7"/>
      <c r="AP101" s="7"/>
      <c r="AQ101" s="7"/>
      <c r="AR101" s="8">
        <v>48</v>
      </c>
      <c r="AS101" s="7"/>
      <c r="AT101" s="7"/>
      <c r="AU101" s="7"/>
      <c r="AV101" s="7"/>
      <c r="AX101" s="7" t="s">
        <v>244</v>
      </c>
      <c r="AY101" s="7" t="s">
        <v>245</v>
      </c>
      <c r="BB101" s="7" t="s">
        <v>246</v>
      </c>
      <c r="BC101" s="11">
        <v>7.02</v>
      </c>
      <c r="BD101" s="41">
        <v>1.8</v>
      </c>
      <c r="BE101" s="41"/>
      <c r="BF101" s="11">
        <v>8.49</v>
      </c>
      <c r="BG101" s="41">
        <v>0.8</v>
      </c>
      <c r="BH101" s="41"/>
      <c r="BI101" s="7" t="s">
        <v>297</v>
      </c>
      <c r="BJ101" s="8">
        <v>2</v>
      </c>
      <c r="BK101" s="5" t="str">
        <f t="shared" si="85"/>
        <v>Control_greater_than_case</v>
      </c>
      <c r="BP101" s="7" t="s">
        <v>237</v>
      </c>
      <c r="BR101" s="7" t="s">
        <v>262</v>
      </c>
      <c r="CG101" s="7" t="s">
        <v>239</v>
      </c>
      <c r="CH101" s="7" t="s">
        <v>240</v>
      </c>
      <c r="CJ101" s="7" t="s">
        <v>239</v>
      </c>
      <c r="CK101" s="7" t="s">
        <v>248</v>
      </c>
      <c r="CL101" s="8">
        <v>5</v>
      </c>
      <c r="CM101" s="8">
        <v>17</v>
      </c>
      <c r="CN101" s="7" t="s">
        <v>447</v>
      </c>
      <c r="CO101" s="7" t="s">
        <v>249</v>
      </c>
      <c r="CP101" s="7" t="s">
        <v>249</v>
      </c>
      <c r="CQ101" s="5" t="s">
        <v>448</v>
      </c>
      <c r="CU101" s="42">
        <v>43.2</v>
      </c>
      <c r="CV101" s="42">
        <v>4.7</v>
      </c>
      <c r="CW101" s="42">
        <v>39.700000000000003</v>
      </c>
      <c r="CX101" s="42">
        <v>11.1</v>
      </c>
      <c r="CY101" s="27">
        <f t="shared" si="80"/>
        <v>40.49545454545455</v>
      </c>
      <c r="CZ101" s="28">
        <f t="shared" si="81"/>
        <v>10.016770569434673</v>
      </c>
      <c r="DA101" s="7"/>
      <c r="DB101" s="29" t="str">
        <f t="shared" si="82"/>
        <v/>
      </c>
      <c r="DC101" s="8">
        <v>6</v>
      </c>
      <c r="DD101" s="29">
        <f t="shared" si="83"/>
        <v>35.294117647058826</v>
      </c>
      <c r="DE101" s="28" t="str">
        <f t="shared" si="84"/>
        <v/>
      </c>
      <c r="DG101" s="8">
        <f t="shared" si="86"/>
        <v>22</v>
      </c>
      <c r="DH101" s="7" t="s">
        <v>240</v>
      </c>
      <c r="DL101" s="5" t="s">
        <v>446</v>
      </c>
      <c r="DO101" s="7" t="s">
        <v>239</v>
      </c>
      <c r="DP101" s="44">
        <v>3.5</v>
      </c>
      <c r="DQ101" s="42">
        <v>2.5</v>
      </c>
      <c r="DR101" s="42">
        <v>6.5</v>
      </c>
      <c r="DS101" s="11">
        <f t="shared" si="78"/>
        <v>4</v>
      </c>
      <c r="DT101" s="11">
        <f t="shared" si="79"/>
        <v>1.5275252316519465</v>
      </c>
      <c r="EW101" s="8">
        <v>57.7</v>
      </c>
      <c r="EX101" s="8">
        <v>9</v>
      </c>
      <c r="EY101" s="41">
        <v>47.2</v>
      </c>
      <c r="EZ101" s="41">
        <v>9.3000000000000007</v>
      </c>
      <c r="FA101" s="41"/>
      <c r="FB101" s="41"/>
      <c r="FG101" s="41"/>
      <c r="FH101" s="41"/>
      <c r="FI101" s="41">
        <v>101.7</v>
      </c>
      <c r="FJ101" s="41">
        <v>12.3</v>
      </c>
      <c r="FK101" s="41">
        <v>170.4</v>
      </c>
      <c r="FL101" s="41">
        <v>41</v>
      </c>
      <c r="GQ101" s="41"/>
      <c r="GR101" s="41"/>
      <c r="GS101" s="41">
        <v>18.399999999999999</v>
      </c>
      <c r="GT101" s="41">
        <v>3.1</v>
      </c>
      <c r="GU101" s="41">
        <v>14.6</v>
      </c>
      <c r="GV101" s="41">
        <v>1.3</v>
      </c>
      <c r="GY101" s="41"/>
      <c r="GZ101" s="41"/>
      <c r="HA101" s="41"/>
      <c r="HB101" s="41"/>
      <c r="IM101" s="41"/>
      <c r="IN101" s="41"/>
      <c r="IO101" s="41">
        <v>2.7</v>
      </c>
      <c r="IP101" s="41">
        <v>3.5</v>
      </c>
      <c r="IQ101" s="41">
        <v>6</v>
      </c>
      <c r="IR101" s="41">
        <v>4.5999999999999996</v>
      </c>
      <c r="IS101" s="41">
        <v>5.3</v>
      </c>
      <c r="IT101" s="41">
        <v>2.8</v>
      </c>
      <c r="IU101" s="8">
        <v>3.6</v>
      </c>
      <c r="IV101" s="8">
        <v>3.6</v>
      </c>
      <c r="JU101" s="7" t="s">
        <v>252</v>
      </c>
    </row>
    <row r="102" spans="1:281" s="64" customFormat="1" ht="20" customHeight="1" x14ac:dyDescent="0.2">
      <c r="A102" s="106">
        <v>43</v>
      </c>
      <c r="B102" s="71" t="s">
        <v>741</v>
      </c>
      <c r="C102" s="71" t="s">
        <v>440</v>
      </c>
      <c r="D102" s="71" t="s">
        <v>231</v>
      </c>
      <c r="E102" s="64">
        <v>21</v>
      </c>
      <c r="F102" s="64" t="s">
        <v>237</v>
      </c>
      <c r="G102" s="71" t="s">
        <v>237</v>
      </c>
      <c r="H102" s="71">
        <v>24431465</v>
      </c>
      <c r="I102" s="71" t="s">
        <v>967</v>
      </c>
      <c r="J102" s="71" t="s">
        <v>441</v>
      </c>
      <c r="K102" s="64">
        <v>2014</v>
      </c>
      <c r="L102" s="124" t="s">
        <v>442</v>
      </c>
      <c r="N102" s="71" t="s">
        <v>234</v>
      </c>
      <c r="O102" s="71" t="s">
        <v>452</v>
      </c>
      <c r="P102" s="108" t="s">
        <v>464</v>
      </c>
      <c r="Q102" s="108" t="s">
        <v>464</v>
      </c>
      <c r="R102" s="108"/>
      <c r="S102" s="108"/>
      <c r="T102" s="108"/>
      <c r="U102" s="108"/>
      <c r="V102" s="71" t="s">
        <v>236</v>
      </c>
      <c r="W102" s="71" t="s">
        <v>237</v>
      </c>
      <c r="X102" s="71" t="s">
        <v>284</v>
      </c>
      <c r="Y102" s="71" t="s">
        <v>828</v>
      </c>
      <c r="Z102" s="71" t="s">
        <v>237</v>
      </c>
      <c r="AB102" s="71" t="s">
        <v>237</v>
      </c>
      <c r="AC102" s="71" t="s">
        <v>931</v>
      </c>
      <c r="AD102" s="71" t="s">
        <v>239</v>
      </c>
      <c r="AE102" s="64" t="s">
        <v>560</v>
      </c>
      <c r="AF102" s="71" t="s">
        <v>239</v>
      </c>
      <c r="AG102" s="71" t="s">
        <v>240</v>
      </c>
      <c r="AH102" s="71" t="s">
        <v>239</v>
      </c>
      <c r="AI102" s="64">
        <v>30</v>
      </c>
      <c r="AK102" s="71" t="s">
        <v>239</v>
      </c>
      <c r="AL102" s="64">
        <v>6000</v>
      </c>
      <c r="AM102" s="71" t="s">
        <v>259</v>
      </c>
      <c r="AN102" s="71" t="s">
        <v>387</v>
      </c>
      <c r="AO102" s="71"/>
      <c r="AP102" s="71"/>
      <c r="AQ102" s="71"/>
      <c r="AR102" s="64">
        <v>48</v>
      </c>
      <c r="AS102" s="109">
        <v>6.39</v>
      </c>
      <c r="AT102" s="116">
        <v>1.6</v>
      </c>
      <c r="AU102" s="109">
        <v>5.58</v>
      </c>
      <c r="AV102" s="116">
        <v>0.7</v>
      </c>
      <c r="AX102" s="71" t="s">
        <v>244</v>
      </c>
      <c r="AY102" s="71" t="s">
        <v>245</v>
      </c>
      <c r="BB102" s="71" t="s">
        <v>246</v>
      </c>
      <c r="BC102" s="65">
        <v>7.21</v>
      </c>
      <c r="BD102" s="115">
        <v>1.2</v>
      </c>
      <c r="BE102" s="115"/>
      <c r="BF102" s="65">
        <v>8.49</v>
      </c>
      <c r="BG102" s="115">
        <v>0.8</v>
      </c>
      <c r="BH102" s="115"/>
      <c r="BI102" s="71" t="s">
        <v>451</v>
      </c>
      <c r="BJ102" s="64">
        <v>2</v>
      </c>
      <c r="BK102" s="73" t="str">
        <f t="shared" si="85"/>
        <v>Control_greater_than_case</v>
      </c>
      <c r="BP102" s="71" t="s">
        <v>237</v>
      </c>
      <c r="BR102" s="71" t="s">
        <v>262</v>
      </c>
      <c r="CG102" s="71" t="s">
        <v>239</v>
      </c>
      <c r="CH102" s="71" t="s">
        <v>240</v>
      </c>
      <c r="CJ102" s="71" t="s">
        <v>239</v>
      </c>
      <c r="CK102" s="71" t="s">
        <v>248</v>
      </c>
      <c r="CL102" s="64">
        <v>18</v>
      </c>
      <c r="CM102" s="64">
        <v>17</v>
      </c>
      <c r="CN102" s="71" t="s">
        <v>249</v>
      </c>
      <c r="CO102" s="71" t="s">
        <v>249</v>
      </c>
      <c r="CP102" s="71" t="s">
        <v>249</v>
      </c>
      <c r="CQ102" s="73" t="s">
        <v>445</v>
      </c>
      <c r="CU102" s="116">
        <v>43.5</v>
      </c>
      <c r="CV102" s="116">
        <v>8.5</v>
      </c>
      <c r="CW102" s="116">
        <v>39.700000000000003</v>
      </c>
      <c r="CX102" s="116">
        <v>11.1</v>
      </c>
      <c r="CY102" s="79">
        <f t="shared" si="80"/>
        <v>41.65428571428572</v>
      </c>
      <c r="CZ102" s="80">
        <f t="shared" si="81"/>
        <v>9.8903649744451325</v>
      </c>
      <c r="DA102" s="71">
        <v>6</v>
      </c>
      <c r="DB102" s="81">
        <f t="shared" si="82"/>
        <v>33.333333333333329</v>
      </c>
      <c r="DC102" s="64">
        <v>6</v>
      </c>
      <c r="DD102" s="81">
        <f t="shared" si="83"/>
        <v>35.294117647058826</v>
      </c>
      <c r="DE102" s="80">
        <f t="shared" si="84"/>
        <v>34.285714285714285</v>
      </c>
      <c r="DG102" s="64">
        <f t="shared" si="86"/>
        <v>35</v>
      </c>
      <c r="DH102" s="71" t="s">
        <v>240</v>
      </c>
      <c r="DL102" s="73" t="s">
        <v>446</v>
      </c>
      <c r="DO102" s="71" t="s">
        <v>239</v>
      </c>
      <c r="DP102" s="113">
        <v>3.25</v>
      </c>
      <c r="DQ102" s="116">
        <v>1</v>
      </c>
      <c r="DR102" s="116">
        <v>6.5</v>
      </c>
      <c r="DS102" s="65">
        <f t="shared" si="78"/>
        <v>3.5</v>
      </c>
      <c r="DT102" s="65">
        <f t="shared" si="79"/>
        <v>1.6645820296198484</v>
      </c>
      <c r="EW102" s="64">
        <v>57.7</v>
      </c>
      <c r="EX102" s="64">
        <v>9</v>
      </c>
      <c r="EY102" s="115">
        <v>47.2</v>
      </c>
      <c r="EZ102" s="115">
        <v>9.3000000000000007</v>
      </c>
      <c r="FA102" s="115"/>
      <c r="FB102" s="115"/>
      <c r="FG102" s="115"/>
      <c r="FH102" s="115"/>
      <c r="FI102" s="115">
        <v>101.7</v>
      </c>
      <c r="FJ102" s="115">
        <v>12.3</v>
      </c>
      <c r="FK102" s="115">
        <v>150.5</v>
      </c>
      <c r="FL102" s="115">
        <v>49.2</v>
      </c>
      <c r="GQ102" s="115"/>
      <c r="GR102" s="115"/>
      <c r="GS102" s="115">
        <v>18.399999999999999</v>
      </c>
      <c r="GT102" s="115">
        <v>3.1</v>
      </c>
      <c r="GU102" s="115">
        <v>16.600000000000001</v>
      </c>
      <c r="GV102" s="115">
        <v>3.3</v>
      </c>
      <c r="GY102" s="115"/>
      <c r="GZ102" s="115"/>
      <c r="HA102" s="115"/>
      <c r="HB102" s="115"/>
      <c r="IM102" s="115"/>
      <c r="IN102" s="115"/>
      <c r="IO102" s="115">
        <v>2.7</v>
      </c>
      <c r="IP102" s="115">
        <v>3.5</v>
      </c>
      <c r="IQ102" s="115">
        <v>3.9</v>
      </c>
      <c r="IR102" s="115">
        <v>3.2</v>
      </c>
      <c r="IS102" s="115">
        <v>5.3</v>
      </c>
      <c r="IT102" s="115">
        <v>2.8</v>
      </c>
      <c r="IU102" s="64">
        <v>5.4</v>
      </c>
      <c r="IV102" s="64">
        <v>3.9</v>
      </c>
      <c r="JU102" s="71" t="s">
        <v>252</v>
      </c>
    </row>
    <row r="103" spans="1:281" s="97" customFormat="1" ht="20" customHeight="1" x14ac:dyDescent="0.2">
      <c r="A103" s="95"/>
      <c r="L103" s="148"/>
      <c r="P103" s="99"/>
      <c r="Q103" s="99"/>
      <c r="R103" s="99"/>
      <c r="S103" s="99"/>
      <c r="T103" s="99"/>
      <c r="U103" s="99"/>
    </row>
    <row r="104" spans="1:281" s="85" customFormat="1" ht="20" customHeight="1" x14ac:dyDescent="0.2">
      <c r="A104" s="83">
        <v>19</v>
      </c>
      <c r="B104" s="84" t="s">
        <v>636</v>
      </c>
      <c r="C104" s="84" t="s">
        <v>454</v>
      </c>
      <c r="D104" s="84" t="s">
        <v>231</v>
      </c>
      <c r="E104" s="85">
        <v>22</v>
      </c>
      <c r="F104" s="85" t="s">
        <v>239</v>
      </c>
      <c r="G104" s="84" t="s">
        <v>237</v>
      </c>
      <c r="H104" s="84">
        <v>28131894</v>
      </c>
      <c r="I104" s="84"/>
      <c r="J104" s="84" t="s">
        <v>455</v>
      </c>
      <c r="K104" s="85">
        <v>2017</v>
      </c>
      <c r="L104" s="119" t="s">
        <v>456</v>
      </c>
      <c r="N104" s="84" t="s">
        <v>295</v>
      </c>
      <c r="O104" s="84" t="s">
        <v>453</v>
      </c>
      <c r="P104" s="87" t="s">
        <v>818</v>
      </c>
      <c r="Q104" s="87" t="s">
        <v>817</v>
      </c>
      <c r="R104" s="87"/>
      <c r="S104" s="87"/>
      <c r="T104" s="87"/>
      <c r="U104" s="87"/>
      <c r="V104" s="84" t="s">
        <v>236</v>
      </c>
      <c r="W104" s="84" t="s">
        <v>237</v>
      </c>
      <c r="X104" s="84" t="s">
        <v>266</v>
      </c>
      <c r="Y104" s="84" t="s">
        <v>828</v>
      </c>
      <c r="Z104" s="84" t="s">
        <v>237</v>
      </c>
      <c r="AB104" s="84" t="s">
        <v>237</v>
      </c>
      <c r="AC104" s="84" t="s">
        <v>932</v>
      </c>
      <c r="AD104" s="84" t="s">
        <v>239</v>
      </c>
      <c r="AE104" s="84" t="s">
        <v>874</v>
      </c>
      <c r="AF104" s="84" t="s">
        <v>240</v>
      </c>
      <c r="AG104" s="84" t="s">
        <v>240</v>
      </c>
      <c r="AH104" s="84" t="s">
        <v>239</v>
      </c>
      <c r="AI104" s="85">
        <v>68</v>
      </c>
      <c r="AK104" s="84" t="s">
        <v>239</v>
      </c>
      <c r="AL104" s="85">
        <v>3000</v>
      </c>
      <c r="AM104" s="84" t="s">
        <v>259</v>
      </c>
      <c r="AN104" s="84" t="s">
        <v>457</v>
      </c>
      <c r="AO104" s="84"/>
      <c r="AP104" s="84"/>
      <c r="AQ104" s="84"/>
      <c r="AS104" s="84"/>
      <c r="AT104" s="84"/>
      <c r="AU104" s="84"/>
      <c r="AV104" s="84"/>
      <c r="AW104" s="84" t="s">
        <v>458</v>
      </c>
      <c r="AX104" s="84" t="s">
        <v>253</v>
      </c>
      <c r="AY104" s="84" t="s">
        <v>245</v>
      </c>
      <c r="BB104" s="84" t="s">
        <v>459</v>
      </c>
      <c r="BC104" s="103">
        <v>9.9</v>
      </c>
      <c r="BD104" s="88">
        <f>BE104*SQRT(CL104)</f>
        <v>0.95979164405614625</v>
      </c>
      <c r="BE104" s="88">
        <v>0.14000000000000001</v>
      </c>
      <c r="BF104" s="103">
        <v>10.8</v>
      </c>
      <c r="BG104" s="88">
        <f>BH104*SQRT(CM104)</f>
        <v>0.96234089594072636</v>
      </c>
      <c r="BH104" s="88">
        <v>0.21</v>
      </c>
      <c r="BI104" s="84" t="s">
        <v>451</v>
      </c>
      <c r="BJ104" s="85">
        <v>2</v>
      </c>
      <c r="BK104" s="89" t="str">
        <f t="shared" ref="BK104:BK105" si="87">IF(AND(BC104&lt;&gt;"",BF104&lt;&gt;""),IF(BC104&gt;BF104,"Case_greater_than_control","Control_greater_than_case"),"")</f>
        <v>Control_greater_than_case</v>
      </c>
      <c r="BP104" s="84" t="s">
        <v>240</v>
      </c>
      <c r="BR104" s="84" t="s">
        <v>262</v>
      </c>
      <c r="CG104" s="84" t="s">
        <v>239</v>
      </c>
      <c r="CH104" s="154" t="s">
        <v>239</v>
      </c>
      <c r="CJ104" s="84" t="s">
        <v>239</v>
      </c>
      <c r="CK104" s="84" t="s">
        <v>248</v>
      </c>
      <c r="CL104" s="85">
        <v>47</v>
      </c>
      <c r="CM104" s="85">
        <v>21</v>
      </c>
      <c r="CN104" s="84" t="s">
        <v>460</v>
      </c>
      <c r="CO104" s="84" t="s">
        <v>825</v>
      </c>
      <c r="CP104" s="84"/>
      <c r="CQ104" s="84" t="s">
        <v>461</v>
      </c>
      <c r="CR104" s="89" t="s">
        <v>462</v>
      </c>
      <c r="CU104" s="147">
        <v>49</v>
      </c>
      <c r="CV104" s="147">
        <v>13</v>
      </c>
      <c r="CW104" s="147">
        <v>44</v>
      </c>
      <c r="CX104" s="147">
        <v>14</v>
      </c>
      <c r="CY104" s="147">
        <f>IF(OR(CU104="",CW104="",CL104="",CM104="",CL104+CM104=0),"",(CU104*CL104+CW104*CM104)/(CL104+CM104))</f>
        <v>47.455882352941174</v>
      </c>
      <c r="CZ104" s="93">
        <f t="shared" ref="CZ104:CZ105" si="88">IF(OR(CY104="",CV104="",CX104=""),"",SQRT(((CL104-1)*(CV104^2) + (CM104-1)*(CX104^2) + CL104*(CU104-CY104)^2 + CM104*(CW104-CY104)^2) / (CL104+CM104-1)))</f>
        <v>13.414665424958034</v>
      </c>
      <c r="DA104" s="84">
        <v>29</v>
      </c>
      <c r="DB104" s="105">
        <f t="shared" ref="DB104:DB145" si="89">IF(DA104="","",(DA104/CL104)*100)</f>
        <v>61.702127659574465</v>
      </c>
      <c r="DC104" s="85">
        <v>12</v>
      </c>
      <c r="DD104" s="105">
        <f t="shared" ref="DD104:DD105" si="90">IF(DC104="","",(DC104/CM104)*100)</f>
        <v>57.142857142857139</v>
      </c>
      <c r="DE104" s="93">
        <f t="shared" ref="DE104:DE105" si="91">IF(AND(DA104&lt;&gt;"",DC104&lt;&gt;""),(DA104+DC104)/(CL104+CM104)*100,
   IF(AND(DB104&lt;&gt;"",DD104&lt;&gt;""),(DB104*CL104 + DD104*CM104)/(CL104+CM104),
   ""))</f>
        <v>60.294117647058819</v>
      </c>
      <c r="DG104" s="85">
        <f t="shared" ref="DG104:DG105" si="92">SUM(CL104,CM104)</f>
        <v>68</v>
      </c>
      <c r="DH104" s="84" t="s">
        <v>237</v>
      </c>
      <c r="DI104" s="85">
        <v>55</v>
      </c>
      <c r="DJ104" s="85">
        <v>45</v>
      </c>
      <c r="DL104" s="89" t="s">
        <v>463</v>
      </c>
      <c r="DO104" s="84" t="s">
        <v>239</v>
      </c>
      <c r="DP104" s="104">
        <v>3</v>
      </c>
      <c r="DQ104" s="104">
        <v>2</v>
      </c>
      <c r="DR104" s="104">
        <v>4</v>
      </c>
      <c r="DS104" s="103">
        <f t="shared" si="78"/>
        <v>3</v>
      </c>
      <c r="DT104" s="103">
        <f t="shared" si="79"/>
        <v>0.57735026918962573</v>
      </c>
      <c r="HA104" s="88">
        <f>(51+2*58+64)/4</f>
        <v>57.75</v>
      </c>
      <c r="HB104" s="88">
        <f>SQRT(((51-2*58+64)^2)/4 + (64-51)^2/12)</f>
        <v>3.7859388972001824</v>
      </c>
      <c r="HC104" s="85">
        <f>(44+2*50+61)/4</f>
        <v>51.25</v>
      </c>
      <c r="HD104" s="88">
        <f>SQRT(((44-2*50+61)^2)/4 + (61-44)^2/12)</f>
        <v>5.5075705472861021</v>
      </c>
      <c r="JU104" s="84" t="s">
        <v>252</v>
      </c>
    </row>
    <row r="105" spans="1:281" s="64" customFormat="1" ht="20" customHeight="1" x14ac:dyDescent="0.2">
      <c r="A105" s="106">
        <v>19</v>
      </c>
      <c r="B105" s="71" t="s">
        <v>638</v>
      </c>
      <c r="C105" s="71" t="s">
        <v>454</v>
      </c>
      <c r="D105" s="71" t="s">
        <v>231</v>
      </c>
      <c r="E105" s="64">
        <v>22</v>
      </c>
      <c r="F105" s="64" t="s">
        <v>239</v>
      </c>
      <c r="G105" s="71" t="s">
        <v>237</v>
      </c>
      <c r="H105" s="71">
        <v>28131894</v>
      </c>
      <c r="I105" s="71"/>
      <c r="J105" s="71" t="s">
        <v>455</v>
      </c>
      <c r="K105" s="64">
        <v>2017</v>
      </c>
      <c r="L105" s="124" t="s">
        <v>456</v>
      </c>
      <c r="N105" s="71" t="s">
        <v>295</v>
      </c>
      <c r="O105" s="71" t="s">
        <v>464</v>
      </c>
      <c r="P105" s="108" t="s">
        <v>464</v>
      </c>
      <c r="Q105" s="108" t="s">
        <v>464</v>
      </c>
      <c r="R105" s="108"/>
      <c r="S105" s="108"/>
      <c r="T105" s="108"/>
      <c r="U105" s="108"/>
      <c r="V105" s="71" t="s">
        <v>236</v>
      </c>
      <c r="W105" s="71" t="s">
        <v>237</v>
      </c>
      <c r="X105" s="71" t="s">
        <v>266</v>
      </c>
      <c r="Y105" s="71" t="s">
        <v>828</v>
      </c>
      <c r="Z105" s="71" t="s">
        <v>237</v>
      </c>
      <c r="AB105" s="71" t="s">
        <v>237</v>
      </c>
      <c r="AC105" s="71" t="s">
        <v>932</v>
      </c>
      <c r="AD105" s="71" t="s">
        <v>239</v>
      </c>
      <c r="AE105" s="71" t="s">
        <v>874</v>
      </c>
      <c r="AF105" s="71" t="s">
        <v>240</v>
      </c>
      <c r="AG105" s="71" t="s">
        <v>240</v>
      </c>
      <c r="AH105" s="71" t="s">
        <v>239</v>
      </c>
      <c r="AI105" s="64">
        <v>68</v>
      </c>
      <c r="AK105" s="71" t="s">
        <v>239</v>
      </c>
      <c r="AL105" s="64">
        <v>3000</v>
      </c>
      <c r="AM105" s="71" t="s">
        <v>259</v>
      </c>
      <c r="AN105" s="71" t="s">
        <v>457</v>
      </c>
      <c r="AO105" s="71"/>
      <c r="AP105" s="71"/>
      <c r="AQ105" s="71"/>
      <c r="AS105" s="71"/>
      <c r="AT105" s="71"/>
      <c r="AU105" s="71"/>
      <c r="AV105" s="71"/>
      <c r="AW105" s="71" t="s">
        <v>458</v>
      </c>
      <c r="AX105" s="71" t="s">
        <v>253</v>
      </c>
      <c r="AY105" s="71" t="s">
        <v>245</v>
      </c>
      <c r="BB105" s="71" t="s">
        <v>459</v>
      </c>
      <c r="BC105" s="115">
        <v>11.4</v>
      </c>
      <c r="BD105" s="65">
        <f>BE105*SQRT(CL105)</f>
        <v>1.2340178280721879</v>
      </c>
      <c r="BE105" s="65">
        <v>0.18</v>
      </c>
      <c r="BF105" s="115">
        <v>12.2</v>
      </c>
      <c r="BG105" s="65">
        <f>BH105*SQRT(CM105)</f>
        <v>1.1914696806885183</v>
      </c>
      <c r="BH105" s="65">
        <v>0.26</v>
      </c>
      <c r="BI105" s="71" t="s">
        <v>465</v>
      </c>
      <c r="BJ105" s="64">
        <v>2</v>
      </c>
      <c r="BK105" s="73" t="str">
        <f t="shared" si="87"/>
        <v>Control_greater_than_case</v>
      </c>
      <c r="BP105" s="71" t="s">
        <v>240</v>
      </c>
      <c r="BR105" s="71" t="s">
        <v>262</v>
      </c>
      <c r="CG105" s="71" t="s">
        <v>239</v>
      </c>
      <c r="CH105" s="155" t="s">
        <v>239</v>
      </c>
      <c r="CJ105" s="71" t="s">
        <v>239</v>
      </c>
      <c r="CK105" s="71" t="s">
        <v>248</v>
      </c>
      <c r="CL105" s="64">
        <v>47</v>
      </c>
      <c r="CM105" s="64">
        <v>21</v>
      </c>
      <c r="CN105" s="71" t="s">
        <v>460</v>
      </c>
      <c r="CO105" s="71" t="s">
        <v>825</v>
      </c>
      <c r="CP105" s="71"/>
      <c r="CQ105" s="71" t="s">
        <v>461</v>
      </c>
      <c r="CR105" s="73" t="s">
        <v>462</v>
      </c>
      <c r="CU105" s="149">
        <v>49</v>
      </c>
      <c r="CV105" s="149">
        <v>13</v>
      </c>
      <c r="CW105" s="149">
        <v>44</v>
      </c>
      <c r="CX105" s="149">
        <v>14</v>
      </c>
      <c r="CY105" s="149">
        <f>IF(OR(CU105="",CW105="",CL105="",CM105="",CL105+CM105=0),"",(CU105*CL105+CW105*CM105)/(CL105+CM105))</f>
        <v>47.455882352941174</v>
      </c>
      <c r="CZ105" s="80">
        <f t="shared" si="88"/>
        <v>13.414665424958034</v>
      </c>
      <c r="DA105" s="71">
        <v>29</v>
      </c>
      <c r="DB105" s="117">
        <f t="shared" si="89"/>
        <v>61.702127659574465</v>
      </c>
      <c r="DC105" s="64">
        <v>12</v>
      </c>
      <c r="DD105" s="117">
        <f t="shared" si="90"/>
        <v>57.142857142857139</v>
      </c>
      <c r="DE105" s="80">
        <f t="shared" si="91"/>
        <v>60.294117647058819</v>
      </c>
      <c r="DG105" s="64">
        <f t="shared" si="92"/>
        <v>68</v>
      </c>
      <c r="DH105" s="71" t="s">
        <v>237</v>
      </c>
      <c r="DI105" s="64">
        <v>55</v>
      </c>
      <c r="DJ105" s="64">
        <v>45</v>
      </c>
      <c r="DL105" s="73" t="s">
        <v>463</v>
      </c>
      <c r="DO105" s="71" t="s">
        <v>239</v>
      </c>
      <c r="DP105" s="116">
        <v>3</v>
      </c>
      <c r="DQ105" s="116">
        <v>2</v>
      </c>
      <c r="DR105" s="116">
        <v>4</v>
      </c>
      <c r="DS105" s="115">
        <f t="shared" si="78"/>
        <v>3</v>
      </c>
      <c r="DT105" s="115">
        <f t="shared" si="79"/>
        <v>0.57735026918962573</v>
      </c>
      <c r="HA105" s="65">
        <f>(51+2*58+64)/4</f>
        <v>57.75</v>
      </c>
      <c r="HB105" s="65">
        <f>SQRT(((51-2*58+64)^2)/4 + (64-51)^2/12)</f>
        <v>3.7859388972001824</v>
      </c>
      <c r="HC105" s="64">
        <f>(44+2*50+61)/4</f>
        <v>51.25</v>
      </c>
      <c r="HD105" s="65">
        <f>SQRT(((44-2*50+61)^2)/4 + (61-44)^2/12)</f>
        <v>5.5075705472861021</v>
      </c>
      <c r="JU105" s="71" t="s">
        <v>252</v>
      </c>
    </row>
    <row r="106" spans="1:281" s="97" customFormat="1" ht="20" customHeight="1" x14ac:dyDescent="0.2">
      <c r="A106" s="95"/>
      <c r="L106" s="148"/>
      <c r="P106" s="99"/>
      <c r="Q106" s="99"/>
      <c r="R106" s="99"/>
      <c r="S106" s="99"/>
      <c r="T106" s="99"/>
      <c r="U106" s="99"/>
    </row>
    <row r="107" spans="1:281" s="85" customFormat="1" ht="20" customHeight="1" x14ac:dyDescent="0.2">
      <c r="A107" s="83">
        <v>330</v>
      </c>
      <c r="B107" s="84" t="s">
        <v>742</v>
      </c>
      <c r="C107" s="84" t="s">
        <v>466</v>
      </c>
      <c r="D107" s="84" t="s">
        <v>231</v>
      </c>
      <c r="E107" s="85">
        <v>23</v>
      </c>
      <c r="F107" s="85" t="s">
        <v>239</v>
      </c>
      <c r="G107" s="84" t="s">
        <v>237</v>
      </c>
      <c r="H107" s="84">
        <v>27636543</v>
      </c>
      <c r="I107" s="84" t="s">
        <v>968</v>
      </c>
      <c r="J107" s="84" t="s">
        <v>467</v>
      </c>
      <c r="K107" s="85">
        <v>2016</v>
      </c>
      <c r="L107" s="119" t="s">
        <v>468</v>
      </c>
      <c r="N107" s="84" t="s">
        <v>234</v>
      </c>
      <c r="O107" s="84" t="s">
        <v>235</v>
      </c>
      <c r="P107" s="87" t="s">
        <v>235</v>
      </c>
      <c r="Q107" s="87"/>
      <c r="R107" s="87"/>
      <c r="S107" s="87"/>
      <c r="T107" s="87"/>
      <c r="U107" s="87"/>
      <c r="V107" s="84" t="s">
        <v>236</v>
      </c>
      <c r="W107" s="84" t="s">
        <v>239</v>
      </c>
      <c r="X107" s="84" t="s">
        <v>323</v>
      </c>
      <c r="Y107" s="84" t="s">
        <v>323</v>
      </c>
      <c r="Z107" s="84" t="s">
        <v>237</v>
      </c>
      <c r="AB107" s="84" t="s">
        <v>237</v>
      </c>
      <c r="AC107" s="84" t="s">
        <v>933</v>
      </c>
      <c r="AD107" s="84" t="s">
        <v>239</v>
      </c>
      <c r="AE107" s="84" t="s">
        <v>875</v>
      </c>
      <c r="AF107" s="84" t="s">
        <v>239</v>
      </c>
      <c r="AG107" s="84" t="s">
        <v>240</v>
      </c>
      <c r="AH107" s="84" t="s">
        <v>239</v>
      </c>
      <c r="AI107" s="85">
        <v>20</v>
      </c>
      <c r="AK107" s="84" t="s">
        <v>239</v>
      </c>
      <c r="AL107" s="85">
        <v>6000</v>
      </c>
      <c r="AM107" s="84" t="s">
        <v>259</v>
      </c>
      <c r="AN107" s="85">
        <v>3060</v>
      </c>
      <c r="AO107" s="85">
        <v>3.06</v>
      </c>
      <c r="AP107" s="85" t="s">
        <v>893</v>
      </c>
      <c r="AR107" s="85">
        <v>64</v>
      </c>
      <c r="AS107" s="84" t="s">
        <v>240</v>
      </c>
      <c r="AT107" s="84"/>
      <c r="AU107" s="84"/>
      <c r="AV107" s="84"/>
      <c r="AW107" s="85">
        <v>20</v>
      </c>
      <c r="AX107" s="84" t="s">
        <v>244</v>
      </c>
      <c r="AY107" s="84" t="s">
        <v>245</v>
      </c>
      <c r="BB107" s="84" t="s">
        <v>379</v>
      </c>
      <c r="BC107" s="85">
        <v>7.73</v>
      </c>
      <c r="BD107" s="85">
        <v>1.79</v>
      </c>
      <c r="BF107" s="85">
        <v>7.14</v>
      </c>
      <c r="BG107" s="85">
        <v>1.1499999999999999</v>
      </c>
      <c r="BK107" s="89"/>
      <c r="BP107" s="84" t="s">
        <v>239</v>
      </c>
      <c r="BQ107" s="84">
        <v>33</v>
      </c>
      <c r="BR107" s="84" t="s">
        <v>247</v>
      </c>
      <c r="BS107" s="84" t="s">
        <v>235</v>
      </c>
      <c r="CG107" s="84" t="s">
        <v>237</v>
      </c>
      <c r="CH107" s="84" t="s">
        <v>237</v>
      </c>
      <c r="CJ107" s="84" t="s">
        <v>239</v>
      </c>
      <c r="CK107" s="84" t="s">
        <v>248</v>
      </c>
      <c r="CL107" s="85">
        <v>21</v>
      </c>
      <c r="CM107" s="85">
        <v>12</v>
      </c>
      <c r="CN107" s="84" t="s">
        <v>249</v>
      </c>
      <c r="CO107" s="84" t="s">
        <v>249</v>
      </c>
      <c r="CP107" s="84" t="s">
        <v>249</v>
      </c>
      <c r="CQ107" s="89" t="s">
        <v>470</v>
      </c>
      <c r="CR107" s="89" t="s">
        <v>471</v>
      </c>
      <c r="CU107" s="104">
        <v>38.799999999999997</v>
      </c>
      <c r="CV107" s="104">
        <v>11.2</v>
      </c>
      <c r="CW107" s="104">
        <v>42.1</v>
      </c>
      <c r="CX107" s="104">
        <v>11.6</v>
      </c>
      <c r="CY107" s="104">
        <f>IF(OR(CU107="",CW107="",CL107="",CM107="",CL107+CM107=0),"",(CU107*CL107+CW107*CM107)/(CL107+CM107))</f>
        <v>40</v>
      </c>
      <c r="CZ107" s="93">
        <f t="shared" ref="CZ107:CZ114" si="93">IF(OR(CY107="",CV107="",CX107=""),"",SQRT(((CL107-1)*(CV107^2) + (CM107-1)*(CX107^2) + CL107*(CU107-CY107)^2 + CM107*(CW107-CY107)^2) / (CL107+CM107-1)))</f>
        <v>11.280680387281611</v>
      </c>
      <c r="DA107" s="84">
        <v>13</v>
      </c>
      <c r="DB107" s="105">
        <f t="shared" si="89"/>
        <v>61.904761904761905</v>
      </c>
      <c r="DC107" s="85">
        <v>8</v>
      </c>
      <c r="DD107" s="105">
        <f t="shared" ref="DD107:DD114" si="94">IF(DC107="","",(DC107/CM107)*100)</f>
        <v>66.666666666666657</v>
      </c>
      <c r="DE107" s="93">
        <f t="shared" ref="DE107:DE114" si="95">IF(AND(DA107&lt;&gt;"",DC107&lt;&gt;""),(DA107+DC107)/(CL107+CM107)*100,
   IF(AND(DB107&lt;&gt;"",DD107&lt;&gt;""),(DB107*CL107 + DD107*CM107)/(CL107+CM107),
   ""))</f>
        <v>63.636363636363633</v>
      </c>
      <c r="DG107" s="85">
        <f t="shared" ref="DG107:DG114" si="96">SUM(CL107,CM107)</f>
        <v>33</v>
      </c>
      <c r="DH107" s="84" t="s">
        <v>240</v>
      </c>
      <c r="DO107" s="84" t="s">
        <v>239</v>
      </c>
      <c r="DP107" s="84">
        <v>2.5</v>
      </c>
      <c r="DQ107" s="84">
        <v>1</v>
      </c>
      <c r="DR107" s="84">
        <v>6.5</v>
      </c>
      <c r="DS107" s="103">
        <f>(DQ107 + 2*DP107+DR107)/4</f>
        <v>3.125</v>
      </c>
      <c r="DT107" s="103">
        <f t="shared" si="79"/>
        <v>2.0207259421636903</v>
      </c>
      <c r="JU107" s="84" t="s">
        <v>252</v>
      </c>
    </row>
    <row r="108" spans="1:281" s="8" customFormat="1" ht="20" customHeight="1" x14ac:dyDescent="0.2">
      <c r="A108" s="35">
        <v>330</v>
      </c>
      <c r="B108" s="7" t="s">
        <v>743</v>
      </c>
      <c r="C108" s="7" t="s">
        <v>466</v>
      </c>
      <c r="D108" s="7" t="s">
        <v>231</v>
      </c>
      <c r="E108" s="8">
        <v>23</v>
      </c>
      <c r="F108" s="8" t="s">
        <v>239</v>
      </c>
      <c r="G108" s="7" t="s">
        <v>237</v>
      </c>
      <c r="H108" s="7">
        <v>27636543</v>
      </c>
      <c r="I108" s="7" t="s">
        <v>969</v>
      </c>
      <c r="J108" s="7" t="s">
        <v>467</v>
      </c>
      <c r="K108" s="8">
        <v>2016</v>
      </c>
      <c r="L108" s="12" t="s">
        <v>468</v>
      </c>
      <c r="N108" s="7" t="s">
        <v>234</v>
      </c>
      <c r="O108" s="7" t="s">
        <v>254</v>
      </c>
      <c r="P108" s="36" t="s">
        <v>254</v>
      </c>
      <c r="Q108" s="36"/>
      <c r="R108" s="36"/>
      <c r="S108" s="36"/>
      <c r="T108" s="36"/>
      <c r="U108" s="36"/>
      <c r="V108" s="7" t="s">
        <v>236</v>
      </c>
      <c r="W108" s="7" t="s">
        <v>239</v>
      </c>
      <c r="X108" s="7" t="s">
        <v>323</v>
      </c>
      <c r="Y108" s="7" t="s">
        <v>323</v>
      </c>
      <c r="Z108" s="7" t="s">
        <v>237</v>
      </c>
      <c r="AB108" s="7" t="s">
        <v>237</v>
      </c>
      <c r="AC108" s="7" t="s">
        <v>933</v>
      </c>
      <c r="AD108" s="7" t="s">
        <v>239</v>
      </c>
      <c r="AE108" s="7" t="s">
        <v>875</v>
      </c>
      <c r="AF108" s="7" t="s">
        <v>239</v>
      </c>
      <c r="AG108" s="7" t="s">
        <v>240</v>
      </c>
      <c r="AH108" s="7" t="s">
        <v>239</v>
      </c>
      <c r="AI108" s="8">
        <v>20</v>
      </c>
      <c r="AK108" s="7" t="s">
        <v>239</v>
      </c>
      <c r="AL108" s="8">
        <v>6000</v>
      </c>
      <c r="AM108" s="7" t="s">
        <v>259</v>
      </c>
      <c r="AN108" s="8">
        <v>3060</v>
      </c>
      <c r="AO108" s="8">
        <v>3.06</v>
      </c>
      <c r="AP108" s="8" t="s">
        <v>893</v>
      </c>
      <c r="AR108" s="8">
        <v>64</v>
      </c>
      <c r="AS108" s="7" t="s">
        <v>240</v>
      </c>
      <c r="AT108" s="7"/>
      <c r="AU108" s="7"/>
      <c r="AV108" s="7"/>
      <c r="AW108" s="8">
        <v>20</v>
      </c>
      <c r="AX108" s="7" t="s">
        <v>244</v>
      </c>
      <c r="AY108" s="7" t="s">
        <v>245</v>
      </c>
      <c r="BB108" s="7" t="s">
        <v>379</v>
      </c>
      <c r="BC108" s="11">
        <v>7.51</v>
      </c>
      <c r="BD108" s="11">
        <v>1.57</v>
      </c>
      <c r="BE108" s="11"/>
      <c r="BF108" s="11">
        <v>7.14</v>
      </c>
      <c r="BG108" s="11">
        <v>1.1499999999999999</v>
      </c>
      <c r="BH108" s="11"/>
      <c r="BK108" s="5"/>
      <c r="BP108" s="7" t="s">
        <v>239</v>
      </c>
      <c r="BQ108" s="7">
        <v>33</v>
      </c>
      <c r="BR108" s="7" t="s">
        <v>247</v>
      </c>
      <c r="BS108" s="7" t="s">
        <v>254</v>
      </c>
      <c r="CG108" s="7" t="s">
        <v>237</v>
      </c>
      <c r="CH108" s="7" t="s">
        <v>237</v>
      </c>
      <c r="CJ108" s="7" t="s">
        <v>239</v>
      </c>
      <c r="CK108" s="7" t="s">
        <v>248</v>
      </c>
      <c r="CL108" s="8">
        <v>21</v>
      </c>
      <c r="CM108" s="8">
        <v>12</v>
      </c>
      <c r="CN108" s="7" t="s">
        <v>249</v>
      </c>
      <c r="CO108" s="7" t="s">
        <v>249</v>
      </c>
      <c r="CP108" s="7" t="s">
        <v>249</v>
      </c>
      <c r="CQ108" s="5" t="s">
        <v>470</v>
      </c>
      <c r="CR108" s="5" t="s">
        <v>471</v>
      </c>
      <c r="CU108" s="42">
        <v>38.799999999999997</v>
      </c>
      <c r="CV108" s="42">
        <v>11.2</v>
      </c>
      <c r="CW108" s="42">
        <v>42.1</v>
      </c>
      <c r="CX108" s="42">
        <v>11.6</v>
      </c>
      <c r="CY108" s="42">
        <f t="shared" ref="CY108:CY169" si="97">IF(OR(CU108="",CW108="",CL108="",CM108="",CL108+CM108=0),"",(CU108*CL108+CW108*CM108)/(CL108+CM108))</f>
        <v>40</v>
      </c>
      <c r="CZ108" s="28">
        <f t="shared" si="93"/>
        <v>11.280680387281611</v>
      </c>
      <c r="DA108" s="7">
        <v>13</v>
      </c>
      <c r="DB108" s="43">
        <f t="shared" si="89"/>
        <v>61.904761904761905</v>
      </c>
      <c r="DC108" s="8">
        <v>8</v>
      </c>
      <c r="DD108" s="43">
        <f t="shared" si="94"/>
        <v>66.666666666666657</v>
      </c>
      <c r="DE108" s="28">
        <f t="shared" si="95"/>
        <v>63.636363636363633</v>
      </c>
      <c r="DG108" s="8">
        <f t="shared" si="96"/>
        <v>33</v>
      </c>
      <c r="DH108" s="7" t="s">
        <v>240</v>
      </c>
      <c r="DO108" s="7" t="s">
        <v>239</v>
      </c>
      <c r="DP108" s="7">
        <v>2.5</v>
      </c>
      <c r="DQ108" s="7">
        <v>1</v>
      </c>
      <c r="DR108" s="7">
        <v>6.5</v>
      </c>
      <c r="DS108" s="41">
        <f t="shared" si="78"/>
        <v>3.125</v>
      </c>
      <c r="DT108" s="41">
        <f t="shared" si="79"/>
        <v>2.0207259421636903</v>
      </c>
      <c r="JU108" s="7" t="s">
        <v>252</v>
      </c>
    </row>
    <row r="109" spans="1:281" s="8" customFormat="1" ht="20" customHeight="1" x14ac:dyDescent="0.2">
      <c r="A109" s="35">
        <v>330</v>
      </c>
      <c r="B109" s="7" t="s">
        <v>744</v>
      </c>
      <c r="C109" s="7" t="s">
        <v>466</v>
      </c>
      <c r="D109" s="7" t="s">
        <v>231</v>
      </c>
      <c r="E109" s="8">
        <v>23</v>
      </c>
      <c r="F109" s="8" t="s">
        <v>239</v>
      </c>
      <c r="G109" s="7" t="s">
        <v>237</v>
      </c>
      <c r="H109" s="7">
        <v>27636543</v>
      </c>
      <c r="I109" s="7" t="s">
        <v>970</v>
      </c>
      <c r="J109" s="7" t="s">
        <v>467</v>
      </c>
      <c r="K109" s="8">
        <v>2016</v>
      </c>
      <c r="L109" s="12" t="s">
        <v>468</v>
      </c>
      <c r="N109" s="7" t="s">
        <v>234</v>
      </c>
      <c r="O109" s="7" t="s">
        <v>235</v>
      </c>
      <c r="P109" s="36" t="s">
        <v>235</v>
      </c>
      <c r="Q109" s="36"/>
      <c r="R109" s="36"/>
      <c r="S109" s="36"/>
      <c r="T109" s="36"/>
      <c r="U109" s="36"/>
      <c r="V109" s="7" t="s">
        <v>236</v>
      </c>
      <c r="W109" s="7" t="s">
        <v>239</v>
      </c>
      <c r="X109" s="7" t="s">
        <v>323</v>
      </c>
      <c r="Y109" s="7" t="s">
        <v>323</v>
      </c>
      <c r="Z109" s="7" t="s">
        <v>237</v>
      </c>
      <c r="AB109" s="7" t="s">
        <v>237</v>
      </c>
      <c r="AC109" s="7" t="s">
        <v>933</v>
      </c>
      <c r="AD109" s="7" t="s">
        <v>239</v>
      </c>
      <c r="AE109" s="7" t="s">
        <v>875</v>
      </c>
      <c r="AF109" s="7" t="s">
        <v>239</v>
      </c>
      <c r="AG109" s="7" t="s">
        <v>240</v>
      </c>
      <c r="AH109" s="7" t="s">
        <v>239</v>
      </c>
      <c r="AI109" s="8">
        <v>20</v>
      </c>
      <c r="AK109" s="7" t="s">
        <v>239</v>
      </c>
      <c r="AL109" s="8">
        <v>6000</v>
      </c>
      <c r="AM109" s="7" t="s">
        <v>259</v>
      </c>
      <c r="AN109" s="8">
        <v>3060</v>
      </c>
      <c r="AO109" s="8">
        <v>3.06</v>
      </c>
      <c r="AP109" s="8" t="s">
        <v>893</v>
      </c>
      <c r="AR109" s="8">
        <v>64</v>
      </c>
      <c r="AS109" s="7" t="s">
        <v>240</v>
      </c>
      <c r="AT109" s="7"/>
      <c r="AU109" s="7"/>
      <c r="AV109" s="7"/>
      <c r="AW109" s="8">
        <v>20</v>
      </c>
      <c r="AX109" s="7" t="s">
        <v>244</v>
      </c>
      <c r="AY109" s="7" t="s">
        <v>245</v>
      </c>
      <c r="BB109" s="7" t="s">
        <v>379</v>
      </c>
      <c r="BC109" s="11">
        <v>6.98</v>
      </c>
      <c r="BD109" s="11">
        <v>1.48</v>
      </c>
      <c r="BE109" s="11"/>
      <c r="BF109" s="11">
        <v>7.14</v>
      </c>
      <c r="BG109" s="11">
        <v>1.1499999999999999</v>
      </c>
      <c r="BH109" s="11"/>
      <c r="BK109" s="5"/>
      <c r="BP109" s="7" t="s">
        <v>239</v>
      </c>
      <c r="BQ109" s="7">
        <v>33</v>
      </c>
      <c r="BR109" s="7" t="s">
        <v>247</v>
      </c>
      <c r="BS109" s="7" t="s">
        <v>235</v>
      </c>
      <c r="CG109" s="7" t="s">
        <v>237</v>
      </c>
      <c r="CH109" s="7" t="s">
        <v>237</v>
      </c>
      <c r="CJ109" s="7" t="s">
        <v>239</v>
      </c>
      <c r="CK109" s="7" t="s">
        <v>248</v>
      </c>
      <c r="CL109" s="8">
        <v>15</v>
      </c>
      <c r="CM109" s="8">
        <v>12</v>
      </c>
      <c r="CN109" s="7" t="s">
        <v>291</v>
      </c>
      <c r="CO109" s="7" t="s">
        <v>291</v>
      </c>
      <c r="CP109" s="7" t="s">
        <v>291</v>
      </c>
      <c r="CQ109" s="5" t="s">
        <v>470</v>
      </c>
      <c r="CR109" s="5" t="s">
        <v>471</v>
      </c>
      <c r="CU109" s="42">
        <v>45.7</v>
      </c>
      <c r="CV109" s="42">
        <v>11.9</v>
      </c>
      <c r="CW109" s="42">
        <v>42.1</v>
      </c>
      <c r="CX109" s="42">
        <v>11.6</v>
      </c>
      <c r="CY109" s="42">
        <f t="shared" si="97"/>
        <v>44.1</v>
      </c>
      <c r="CZ109" s="28">
        <f t="shared" si="93"/>
        <v>11.683486044577883</v>
      </c>
      <c r="DA109" s="7">
        <v>12</v>
      </c>
      <c r="DB109" s="43">
        <f t="shared" si="89"/>
        <v>80</v>
      </c>
      <c r="DC109" s="8">
        <v>8</v>
      </c>
      <c r="DD109" s="43">
        <f t="shared" si="94"/>
        <v>66.666666666666657</v>
      </c>
      <c r="DE109" s="28">
        <f t="shared" si="95"/>
        <v>74.074074074074076</v>
      </c>
      <c r="DG109" s="8">
        <f t="shared" si="96"/>
        <v>27</v>
      </c>
      <c r="DH109" s="7" t="s">
        <v>240</v>
      </c>
      <c r="DO109" s="7" t="s">
        <v>239</v>
      </c>
      <c r="DP109" s="42">
        <v>4</v>
      </c>
      <c r="DQ109" s="7">
        <v>1</v>
      </c>
      <c r="DR109" s="7">
        <v>6.5</v>
      </c>
      <c r="DS109" s="41">
        <f t="shared" si="78"/>
        <v>3.875</v>
      </c>
      <c r="DT109" s="41">
        <f t="shared" si="79"/>
        <v>1.6072751268321592</v>
      </c>
      <c r="JU109" s="7" t="s">
        <v>252</v>
      </c>
    </row>
    <row r="110" spans="1:281" s="8" customFormat="1" ht="20" customHeight="1" x14ac:dyDescent="0.2">
      <c r="A110" s="35">
        <v>330</v>
      </c>
      <c r="B110" s="7" t="s">
        <v>745</v>
      </c>
      <c r="C110" s="7" t="s">
        <v>466</v>
      </c>
      <c r="D110" s="7" t="s">
        <v>231</v>
      </c>
      <c r="E110" s="8">
        <v>23</v>
      </c>
      <c r="F110" s="8" t="s">
        <v>239</v>
      </c>
      <c r="G110" s="7" t="s">
        <v>237</v>
      </c>
      <c r="H110" s="7">
        <v>27636543</v>
      </c>
      <c r="I110" s="7" t="s">
        <v>971</v>
      </c>
      <c r="J110" s="7" t="s">
        <v>467</v>
      </c>
      <c r="K110" s="8">
        <v>2016</v>
      </c>
      <c r="L110" s="12" t="s">
        <v>468</v>
      </c>
      <c r="N110" s="7" t="s">
        <v>234</v>
      </c>
      <c r="O110" s="7" t="s">
        <v>254</v>
      </c>
      <c r="P110" s="36" t="s">
        <v>254</v>
      </c>
      <c r="Q110" s="36"/>
      <c r="R110" s="36"/>
      <c r="S110" s="36"/>
      <c r="T110" s="36"/>
      <c r="U110" s="36"/>
      <c r="V110" s="7" t="s">
        <v>236</v>
      </c>
      <c r="W110" s="7" t="s">
        <v>239</v>
      </c>
      <c r="X110" s="7" t="s">
        <v>323</v>
      </c>
      <c r="Y110" s="7" t="s">
        <v>323</v>
      </c>
      <c r="Z110" s="7" t="s">
        <v>237</v>
      </c>
      <c r="AB110" s="7" t="s">
        <v>237</v>
      </c>
      <c r="AC110" s="7" t="s">
        <v>933</v>
      </c>
      <c r="AD110" s="7" t="s">
        <v>239</v>
      </c>
      <c r="AE110" s="7" t="s">
        <v>875</v>
      </c>
      <c r="AF110" s="7" t="s">
        <v>239</v>
      </c>
      <c r="AG110" s="7" t="s">
        <v>240</v>
      </c>
      <c r="AH110" s="7" t="s">
        <v>239</v>
      </c>
      <c r="AI110" s="8">
        <v>20</v>
      </c>
      <c r="AK110" s="7" t="s">
        <v>239</v>
      </c>
      <c r="AL110" s="8">
        <v>6000</v>
      </c>
      <c r="AM110" s="7" t="s">
        <v>259</v>
      </c>
      <c r="AN110" s="8">
        <v>3060</v>
      </c>
      <c r="AO110" s="8">
        <v>3.06</v>
      </c>
      <c r="AP110" s="8" t="s">
        <v>893</v>
      </c>
      <c r="AR110" s="8">
        <v>64</v>
      </c>
      <c r="AS110" s="7" t="s">
        <v>240</v>
      </c>
      <c r="AT110" s="7"/>
      <c r="AU110" s="7"/>
      <c r="AV110" s="7"/>
      <c r="AW110" s="8">
        <v>20</v>
      </c>
      <c r="AX110" s="7" t="s">
        <v>244</v>
      </c>
      <c r="AY110" s="7" t="s">
        <v>245</v>
      </c>
      <c r="BB110" s="7" t="s">
        <v>379</v>
      </c>
      <c r="BC110" s="11">
        <v>7.49</v>
      </c>
      <c r="BD110" s="11">
        <v>1.45</v>
      </c>
      <c r="BE110" s="11"/>
      <c r="BF110" s="11">
        <v>7.14</v>
      </c>
      <c r="BG110" s="11">
        <v>1.1499999999999999</v>
      </c>
      <c r="BH110" s="11"/>
      <c r="BK110" s="5"/>
      <c r="BP110" s="7" t="s">
        <v>239</v>
      </c>
      <c r="BQ110" s="7">
        <v>33</v>
      </c>
      <c r="BR110" s="7" t="s">
        <v>247</v>
      </c>
      <c r="BS110" s="7" t="s">
        <v>254</v>
      </c>
      <c r="CG110" s="7" t="s">
        <v>237</v>
      </c>
      <c r="CH110" s="7" t="s">
        <v>237</v>
      </c>
      <c r="CJ110" s="7" t="s">
        <v>239</v>
      </c>
      <c r="CK110" s="7" t="s">
        <v>248</v>
      </c>
      <c r="CL110" s="8">
        <v>15</v>
      </c>
      <c r="CM110" s="8">
        <v>12</v>
      </c>
      <c r="CN110" s="7" t="s">
        <v>291</v>
      </c>
      <c r="CO110" s="7" t="s">
        <v>291</v>
      </c>
      <c r="CP110" s="7" t="s">
        <v>291</v>
      </c>
      <c r="CQ110" s="5" t="s">
        <v>470</v>
      </c>
      <c r="CR110" s="5" t="s">
        <v>471</v>
      </c>
      <c r="CU110" s="42">
        <v>45.7</v>
      </c>
      <c r="CV110" s="42">
        <v>11.9</v>
      </c>
      <c r="CW110" s="42">
        <v>42.1</v>
      </c>
      <c r="CX110" s="42">
        <v>11.6</v>
      </c>
      <c r="CY110" s="42">
        <f t="shared" si="97"/>
        <v>44.1</v>
      </c>
      <c r="CZ110" s="28">
        <f t="shared" si="93"/>
        <v>11.683486044577883</v>
      </c>
      <c r="DA110" s="7">
        <v>12</v>
      </c>
      <c r="DB110" s="43">
        <f t="shared" si="89"/>
        <v>80</v>
      </c>
      <c r="DC110" s="8">
        <v>8</v>
      </c>
      <c r="DD110" s="43">
        <f t="shared" si="94"/>
        <v>66.666666666666657</v>
      </c>
      <c r="DE110" s="28">
        <f t="shared" si="95"/>
        <v>74.074074074074076</v>
      </c>
      <c r="DG110" s="8">
        <f t="shared" si="96"/>
        <v>27</v>
      </c>
      <c r="DH110" s="7" t="s">
        <v>240</v>
      </c>
      <c r="DO110" s="7" t="s">
        <v>239</v>
      </c>
      <c r="DP110" s="42">
        <v>4</v>
      </c>
      <c r="DQ110" s="7">
        <v>1</v>
      </c>
      <c r="DR110" s="7">
        <v>6.5</v>
      </c>
      <c r="DS110" s="41">
        <f t="shared" si="78"/>
        <v>3.875</v>
      </c>
      <c r="DT110" s="41">
        <f t="shared" si="79"/>
        <v>1.6072751268321592</v>
      </c>
      <c r="JU110" s="7" t="s">
        <v>252</v>
      </c>
    </row>
    <row r="111" spans="1:281" s="8" customFormat="1" ht="20" customHeight="1" x14ac:dyDescent="0.2">
      <c r="A111" s="35">
        <v>330</v>
      </c>
      <c r="B111" s="7" t="s">
        <v>746</v>
      </c>
      <c r="C111" s="7" t="s">
        <v>466</v>
      </c>
      <c r="D111" s="7" t="s">
        <v>231</v>
      </c>
      <c r="E111" s="8">
        <v>23</v>
      </c>
      <c r="F111" s="8" t="s">
        <v>237</v>
      </c>
      <c r="G111" s="7" t="s">
        <v>237</v>
      </c>
      <c r="H111" s="7">
        <v>27636543</v>
      </c>
      <c r="I111" s="7" t="s">
        <v>972</v>
      </c>
      <c r="J111" s="7" t="s">
        <v>467</v>
      </c>
      <c r="K111" s="8">
        <v>2016</v>
      </c>
      <c r="L111" s="12" t="s">
        <v>468</v>
      </c>
      <c r="N111" s="7" t="s">
        <v>234</v>
      </c>
      <c r="O111" s="7" t="s">
        <v>235</v>
      </c>
      <c r="P111" s="36" t="s">
        <v>235</v>
      </c>
      <c r="Q111" s="36"/>
      <c r="R111" s="36"/>
      <c r="S111" s="36"/>
      <c r="T111" s="36"/>
      <c r="U111" s="36"/>
      <c r="V111" s="7" t="s">
        <v>236</v>
      </c>
      <c r="W111" s="7" t="s">
        <v>239</v>
      </c>
      <c r="X111" s="7" t="s">
        <v>323</v>
      </c>
      <c r="Y111" s="7" t="s">
        <v>323</v>
      </c>
      <c r="Z111" s="7" t="s">
        <v>237</v>
      </c>
      <c r="AB111" s="7" t="s">
        <v>237</v>
      </c>
      <c r="AC111" s="7" t="s">
        <v>933</v>
      </c>
      <c r="AD111" s="7" t="s">
        <v>239</v>
      </c>
      <c r="AE111" s="7" t="s">
        <v>875</v>
      </c>
      <c r="AF111" s="7" t="s">
        <v>239</v>
      </c>
      <c r="AG111" s="7" t="s">
        <v>240</v>
      </c>
      <c r="AH111" s="7" t="s">
        <v>239</v>
      </c>
      <c r="AI111" s="8">
        <v>20</v>
      </c>
      <c r="AK111" s="7" t="s">
        <v>239</v>
      </c>
      <c r="AL111" s="8">
        <v>6000</v>
      </c>
      <c r="AM111" s="7" t="s">
        <v>259</v>
      </c>
      <c r="AN111" s="8">
        <v>3060</v>
      </c>
      <c r="AO111" s="8">
        <v>3.06</v>
      </c>
      <c r="AP111" s="8" t="s">
        <v>893</v>
      </c>
      <c r="AR111" s="8">
        <v>64</v>
      </c>
      <c r="AS111" s="7" t="s">
        <v>240</v>
      </c>
      <c r="AT111" s="7"/>
      <c r="AU111" s="7"/>
      <c r="AV111" s="7"/>
      <c r="AW111" s="8">
        <v>20</v>
      </c>
      <c r="AX111" s="7" t="s">
        <v>244</v>
      </c>
      <c r="AY111" s="7" t="s">
        <v>277</v>
      </c>
      <c r="AZ111" s="7" t="s">
        <v>370</v>
      </c>
      <c r="BB111" s="7" t="s">
        <v>379</v>
      </c>
      <c r="BC111" s="11">
        <v>1.56</v>
      </c>
      <c r="BD111" s="11">
        <v>0.25</v>
      </c>
      <c r="BE111" s="11"/>
      <c r="BF111" s="11">
        <v>1.49</v>
      </c>
      <c r="BG111" s="41">
        <v>0.2</v>
      </c>
      <c r="BH111" s="41"/>
      <c r="BK111" s="5"/>
      <c r="BP111" s="7" t="s">
        <v>239</v>
      </c>
      <c r="BQ111" s="7">
        <v>33</v>
      </c>
      <c r="BR111" s="7" t="s">
        <v>247</v>
      </c>
      <c r="BS111" s="7" t="s">
        <v>235</v>
      </c>
      <c r="CG111" s="7" t="s">
        <v>237</v>
      </c>
      <c r="CH111" s="7" t="s">
        <v>237</v>
      </c>
      <c r="CJ111" s="7" t="s">
        <v>239</v>
      </c>
      <c r="CK111" s="7" t="s">
        <v>248</v>
      </c>
      <c r="CL111" s="8">
        <v>21</v>
      </c>
      <c r="CM111" s="8">
        <v>12</v>
      </c>
      <c r="CN111" s="7" t="s">
        <v>249</v>
      </c>
      <c r="CO111" s="7" t="s">
        <v>249</v>
      </c>
      <c r="CP111" s="7" t="s">
        <v>249</v>
      </c>
      <c r="CQ111" s="5" t="s">
        <v>470</v>
      </c>
      <c r="CR111" s="5" t="s">
        <v>471</v>
      </c>
      <c r="CU111" s="50">
        <v>38.799999999999997</v>
      </c>
      <c r="CV111" s="50">
        <v>11.2</v>
      </c>
      <c r="CW111" s="42">
        <v>42.1</v>
      </c>
      <c r="CX111" s="42">
        <v>11.6</v>
      </c>
      <c r="CY111" s="42">
        <f t="shared" si="97"/>
        <v>40</v>
      </c>
      <c r="CZ111" s="28">
        <f t="shared" si="93"/>
        <v>11.280680387281611</v>
      </c>
      <c r="DA111" s="7">
        <v>13</v>
      </c>
      <c r="DB111" s="43">
        <f t="shared" si="89"/>
        <v>61.904761904761905</v>
      </c>
      <c r="DC111" s="8">
        <v>8</v>
      </c>
      <c r="DD111" s="43">
        <f t="shared" si="94"/>
        <v>66.666666666666657</v>
      </c>
      <c r="DE111" s="28">
        <f t="shared" si="95"/>
        <v>63.636363636363633</v>
      </c>
      <c r="DG111" s="8">
        <f t="shared" si="96"/>
        <v>33</v>
      </c>
      <c r="DH111" s="7" t="s">
        <v>240</v>
      </c>
      <c r="DO111" s="7" t="s">
        <v>239</v>
      </c>
      <c r="DP111" s="7">
        <v>2.5</v>
      </c>
      <c r="DQ111" s="7">
        <v>1</v>
      </c>
      <c r="DR111" s="7">
        <v>6.5</v>
      </c>
      <c r="DS111" s="41">
        <f t="shared" si="78"/>
        <v>3.125</v>
      </c>
      <c r="DT111" s="41">
        <f t="shared" si="79"/>
        <v>2.0207259421636903</v>
      </c>
      <c r="JU111" s="7" t="s">
        <v>252</v>
      </c>
    </row>
    <row r="112" spans="1:281" s="8" customFormat="1" ht="20" customHeight="1" x14ac:dyDescent="0.2">
      <c r="A112" s="35">
        <v>330</v>
      </c>
      <c r="B112" s="7" t="s">
        <v>747</v>
      </c>
      <c r="C112" s="7" t="s">
        <v>466</v>
      </c>
      <c r="D112" s="7" t="s">
        <v>231</v>
      </c>
      <c r="E112" s="8">
        <v>23</v>
      </c>
      <c r="F112" s="8" t="s">
        <v>237</v>
      </c>
      <c r="G112" s="7" t="s">
        <v>237</v>
      </c>
      <c r="H112" s="7">
        <v>27636543</v>
      </c>
      <c r="I112" s="7" t="s">
        <v>973</v>
      </c>
      <c r="J112" s="7" t="s">
        <v>467</v>
      </c>
      <c r="K112" s="8">
        <v>2016</v>
      </c>
      <c r="L112" s="12" t="s">
        <v>468</v>
      </c>
      <c r="N112" s="7" t="s">
        <v>234</v>
      </c>
      <c r="O112" s="7" t="s">
        <v>254</v>
      </c>
      <c r="P112" s="36" t="s">
        <v>254</v>
      </c>
      <c r="Q112" s="36"/>
      <c r="R112" s="36"/>
      <c r="S112" s="36"/>
      <c r="T112" s="36"/>
      <c r="U112" s="36"/>
      <c r="V112" s="7" t="s">
        <v>236</v>
      </c>
      <c r="W112" s="7" t="s">
        <v>239</v>
      </c>
      <c r="X112" s="7" t="s">
        <v>323</v>
      </c>
      <c r="Y112" s="7" t="s">
        <v>323</v>
      </c>
      <c r="Z112" s="7" t="s">
        <v>237</v>
      </c>
      <c r="AB112" s="7" t="s">
        <v>237</v>
      </c>
      <c r="AC112" s="7" t="s">
        <v>933</v>
      </c>
      <c r="AD112" s="7" t="s">
        <v>239</v>
      </c>
      <c r="AE112" s="7" t="s">
        <v>875</v>
      </c>
      <c r="AF112" s="7" t="s">
        <v>239</v>
      </c>
      <c r="AG112" s="7" t="s">
        <v>240</v>
      </c>
      <c r="AH112" s="7" t="s">
        <v>239</v>
      </c>
      <c r="AI112" s="8">
        <v>20</v>
      </c>
      <c r="AK112" s="7" t="s">
        <v>239</v>
      </c>
      <c r="AL112" s="8">
        <v>6000</v>
      </c>
      <c r="AM112" s="7" t="s">
        <v>259</v>
      </c>
      <c r="AN112" s="8">
        <v>3060</v>
      </c>
      <c r="AO112" s="8">
        <v>3.06</v>
      </c>
      <c r="AP112" s="8" t="s">
        <v>893</v>
      </c>
      <c r="AR112" s="8">
        <v>64</v>
      </c>
      <c r="AS112" s="7" t="s">
        <v>240</v>
      </c>
      <c r="AT112" s="7"/>
      <c r="AU112" s="7"/>
      <c r="AV112" s="7"/>
      <c r="AW112" s="8">
        <v>20</v>
      </c>
      <c r="AX112" s="7" t="s">
        <v>244</v>
      </c>
      <c r="AY112" s="7" t="s">
        <v>277</v>
      </c>
      <c r="AZ112" s="7" t="s">
        <v>370</v>
      </c>
      <c r="BB112" s="7" t="s">
        <v>379</v>
      </c>
      <c r="BC112" s="11">
        <v>1.57</v>
      </c>
      <c r="BD112" s="11">
        <v>0.27</v>
      </c>
      <c r="BE112" s="11"/>
      <c r="BF112" s="11">
        <v>1.49</v>
      </c>
      <c r="BG112" s="41">
        <v>0.2</v>
      </c>
      <c r="BH112" s="41"/>
      <c r="BK112" s="5"/>
      <c r="BP112" s="7" t="s">
        <v>239</v>
      </c>
      <c r="BQ112" s="7">
        <v>33</v>
      </c>
      <c r="BR112" s="7" t="s">
        <v>247</v>
      </c>
      <c r="BS112" s="7" t="s">
        <v>254</v>
      </c>
      <c r="CG112" s="7" t="s">
        <v>237</v>
      </c>
      <c r="CH112" s="7" t="s">
        <v>237</v>
      </c>
      <c r="CJ112" s="7" t="s">
        <v>239</v>
      </c>
      <c r="CK112" s="7" t="s">
        <v>248</v>
      </c>
      <c r="CL112" s="8">
        <v>21</v>
      </c>
      <c r="CM112" s="8">
        <v>12</v>
      </c>
      <c r="CN112" s="7" t="s">
        <v>249</v>
      </c>
      <c r="CO112" s="7" t="s">
        <v>249</v>
      </c>
      <c r="CP112" s="7" t="s">
        <v>249</v>
      </c>
      <c r="CQ112" s="5" t="s">
        <v>470</v>
      </c>
      <c r="CR112" s="5" t="s">
        <v>471</v>
      </c>
      <c r="CU112" s="50">
        <v>38.799999999999997</v>
      </c>
      <c r="CV112" s="50">
        <v>11.2</v>
      </c>
      <c r="CW112" s="42">
        <v>42.1</v>
      </c>
      <c r="CX112" s="42">
        <v>11.6</v>
      </c>
      <c r="CY112" s="42">
        <f t="shared" si="97"/>
        <v>40</v>
      </c>
      <c r="CZ112" s="28">
        <f t="shared" si="93"/>
        <v>11.280680387281611</v>
      </c>
      <c r="DA112" s="7">
        <v>13</v>
      </c>
      <c r="DB112" s="43">
        <f t="shared" si="89"/>
        <v>61.904761904761905</v>
      </c>
      <c r="DC112" s="8">
        <v>8</v>
      </c>
      <c r="DD112" s="43">
        <f t="shared" si="94"/>
        <v>66.666666666666657</v>
      </c>
      <c r="DE112" s="28">
        <f t="shared" si="95"/>
        <v>63.636363636363633</v>
      </c>
      <c r="DG112" s="8">
        <f t="shared" si="96"/>
        <v>33</v>
      </c>
      <c r="DH112" s="7" t="s">
        <v>240</v>
      </c>
      <c r="DO112" s="7" t="s">
        <v>239</v>
      </c>
      <c r="DP112" s="7">
        <v>2.5</v>
      </c>
      <c r="DQ112" s="7">
        <v>1</v>
      </c>
      <c r="DR112" s="7">
        <v>6.5</v>
      </c>
      <c r="DS112" s="41">
        <f t="shared" si="78"/>
        <v>3.125</v>
      </c>
      <c r="DT112" s="41">
        <f t="shared" si="79"/>
        <v>2.0207259421636903</v>
      </c>
      <c r="JU112" s="7" t="s">
        <v>252</v>
      </c>
    </row>
    <row r="113" spans="1:281" s="8" customFormat="1" ht="20" customHeight="1" x14ac:dyDescent="0.2">
      <c r="A113" s="35">
        <v>330</v>
      </c>
      <c r="B113" s="7" t="s">
        <v>748</v>
      </c>
      <c r="C113" s="7" t="s">
        <v>466</v>
      </c>
      <c r="D113" s="7" t="s">
        <v>231</v>
      </c>
      <c r="E113" s="8">
        <v>23</v>
      </c>
      <c r="F113" s="8" t="s">
        <v>237</v>
      </c>
      <c r="G113" s="7" t="s">
        <v>237</v>
      </c>
      <c r="H113" s="7">
        <v>27636543</v>
      </c>
      <c r="I113" s="7" t="s">
        <v>974</v>
      </c>
      <c r="J113" s="7" t="s">
        <v>467</v>
      </c>
      <c r="K113" s="8">
        <v>2016</v>
      </c>
      <c r="L113" s="12" t="s">
        <v>468</v>
      </c>
      <c r="N113" s="7" t="s">
        <v>234</v>
      </c>
      <c r="O113" s="7" t="s">
        <v>235</v>
      </c>
      <c r="P113" s="36" t="s">
        <v>235</v>
      </c>
      <c r="Q113" s="36"/>
      <c r="R113" s="36"/>
      <c r="S113" s="36"/>
      <c r="T113" s="36"/>
      <c r="U113" s="36"/>
      <c r="V113" s="7" t="s">
        <v>236</v>
      </c>
      <c r="W113" s="7" t="s">
        <v>239</v>
      </c>
      <c r="X113" s="7" t="s">
        <v>323</v>
      </c>
      <c r="Y113" s="7" t="s">
        <v>323</v>
      </c>
      <c r="Z113" s="7" t="s">
        <v>237</v>
      </c>
      <c r="AB113" s="7" t="s">
        <v>237</v>
      </c>
      <c r="AC113" s="7" t="s">
        <v>933</v>
      </c>
      <c r="AD113" s="7" t="s">
        <v>239</v>
      </c>
      <c r="AE113" s="7" t="s">
        <v>875</v>
      </c>
      <c r="AF113" s="7" t="s">
        <v>239</v>
      </c>
      <c r="AG113" s="7" t="s">
        <v>240</v>
      </c>
      <c r="AH113" s="7" t="s">
        <v>239</v>
      </c>
      <c r="AI113" s="8">
        <v>20</v>
      </c>
      <c r="AK113" s="7" t="s">
        <v>239</v>
      </c>
      <c r="AL113" s="8">
        <v>6000</v>
      </c>
      <c r="AM113" s="7" t="s">
        <v>259</v>
      </c>
      <c r="AN113" s="8">
        <v>3060</v>
      </c>
      <c r="AO113" s="8">
        <v>3.06</v>
      </c>
      <c r="AP113" s="8" t="s">
        <v>893</v>
      </c>
      <c r="AR113" s="8">
        <v>64</v>
      </c>
      <c r="AS113" s="7" t="s">
        <v>240</v>
      </c>
      <c r="AT113" s="7"/>
      <c r="AU113" s="7"/>
      <c r="AV113" s="7"/>
      <c r="AW113" s="8">
        <v>20</v>
      </c>
      <c r="AX113" s="7" t="s">
        <v>244</v>
      </c>
      <c r="AY113" s="7" t="s">
        <v>277</v>
      </c>
      <c r="AZ113" s="7" t="s">
        <v>370</v>
      </c>
      <c r="BB113" s="7" t="s">
        <v>379</v>
      </c>
      <c r="BC113" s="11">
        <v>1.52</v>
      </c>
      <c r="BD113" s="11">
        <v>0.21</v>
      </c>
      <c r="BE113" s="11"/>
      <c r="BF113" s="11">
        <v>1.49</v>
      </c>
      <c r="BG113" s="41">
        <v>0.2</v>
      </c>
      <c r="BH113" s="41"/>
      <c r="BK113" s="5"/>
      <c r="BP113" s="7" t="s">
        <v>239</v>
      </c>
      <c r="BQ113" s="7">
        <v>33</v>
      </c>
      <c r="BR113" s="7" t="s">
        <v>247</v>
      </c>
      <c r="BS113" s="7" t="s">
        <v>235</v>
      </c>
      <c r="CG113" s="7" t="s">
        <v>237</v>
      </c>
      <c r="CH113" s="7" t="s">
        <v>237</v>
      </c>
      <c r="CJ113" s="7" t="s">
        <v>239</v>
      </c>
      <c r="CK113" s="7" t="s">
        <v>248</v>
      </c>
      <c r="CL113" s="8">
        <v>15</v>
      </c>
      <c r="CM113" s="8">
        <v>12</v>
      </c>
      <c r="CN113" s="7" t="s">
        <v>291</v>
      </c>
      <c r="CO113" s="7" t="s">
        <v>291</v>
      </c>
      <c r="CP113" s="7" t="s">
        <v>291</v>
      </c>
      <c r="CQ113" s="5" t="s">
        <v>470</v>
      </c>
      <c r="CR113" s="5" t="s">
        <v>471</v>
      </c>
      <c r="CU113" s="50">
        <v>45.7</v>
      </c>
      <c r="CV113" s="50">
        <v>11.9</v>
      </c>
      <c r="CW113" s="42">
        <v>42.1</v>
      </c>
      <c r="CX113" s="42">
        <v>11.6</v>
      </c>
      <c r="CY113" s="42">
        <f t="shared" si="97"/>
        <v>44.1</v>
      </c>
      <c r="CZ113" s="28">
        <f t="shared" si="93"/>
        <v>11.683486044577883</v>
      </c>
      <c r="DA113" s="7">
        <v>12</v>
      </c>
      <c r="DB113" s="43">
        <f t="shared" si="89"/>
        <v>80</v>
      </c>
      <c r="DC113" s="8">
        <v>8</v>
      </c>
      <c r="DD113" s="43">
        <f t="shared" si="94"/>
        <v>66.666666666666657</v>
      </c>
      <c r="DE113" s="28">
        <f t="shared" si="95"/>
        <v>74.074074074074076</v>
      </c>
      <c r="DG113" s="8">
        <f t="shared" si="96"/>
        <v>27</v>
      </c>
      <c r="DH113" s="7" t="s">
        <v>240</v>
      </c>
      <c r="DO113" s="7" t="s">
        <v>239</v>
      </c>
      <c r="DP113" s="42">
        <v>4</v>
      </c>
      <c r="DQ113" s="7">
        <v>1</v>
      </c>
      <c r="DR113" s="7">
        <v>6.5</v>
      </c>
      <c r="DS113" s="41">
        <f t="shared" si="78"/>
        <v>3.875</v>
      </c>
      <c r="DT113" s="41">
        <f t="shared" si="79"/>
        <v>1.6072751268321592</v>
      </c>
      <c r="JU113" s="7" t="s">
        <v>252</v>
      </c>
    </row>
    <row r="114" spans="1:281" s="64" customFormat="1" ht="20" customHeight="1" x14ac:dyDescent="0.2">
      <c r="A114" s="106">
        <v>330</v>
      </c>
      <c r="B114" s="71" t="s">
        <v>749</v>
      </c>
      <c r="C114" s="71" t="s">
        <v>466</v>
      </c>
      <c r="D114" s="71" t="s">
        <v>231</v>
      </c>
      <c r="E114" s="64">
        <v>23</v>
      </c>
      <c r="F114" s="64" t="s">
        <v>237</v>
      </c>
      <c r="G114" s="71" t="s">
        <v>237</v>
      </c>
      <c r="H114" s="71">
        <v>27636543</v>
      </c>
      <c r="I114" s="71" t="s">
        <v>975</v>
      </c>
      <c r="J114" s="71" t="s">
        <v>467</v>
      </c>
      <c r="K114" s="64">
        <v>2016</v>
      </c>
      <c r="L114" s="124" t="s">
        <v>468</v>
      </c>
      <c r="N114" s="71" t="s">
        <v>234</v>
      </c>
      <c r="O114" s="71" t="s">
        <v>254</v>
      </c>
      <c r="P114" s="108" t="s">
        <v>254</v>
      </c>
      <c r="Q114" s="108"/>
      <c r="R114" s="108"/>
      <c r="S114" s="108"/>
      <c r="T114" s="108"/>
      <c r="U114" s="108"/>
      <c r="V114" s="71" t="s">
        <v>236</v>
      </c>
      <c r="W114" s="71" t="s">
        <v>239</v>
      </c>
      <c r="X114" s="71" t="s">
        <v>323</v>
      </c>
      <c r="Y114" s="71" t="s">
        <v>323</v>
      </c>
      <c r="Z114" s="71" t="s">
        <v>237</v>
      </c>
      <c r="AB114" s="71" t="s">
        <v>237</v>
      </c>
      <c r="AC114" s="71" t="s">
        <v>933</v>
      </c>
      <c r="AD114" s="71" t="s">
        <v>239</v>
      </c>
      <c r="AE114" s="71" t="s">
        <v>875</v>
      </c>
      <c r="AF114" s="71" t="s">
        <v>239</v>
      </c>
      <c r="AG114" s="71" t="s">
        <v>240</v>
      </c>
      <c r="AH114" s="71" t="s">
        <v>239</v>
      </c>
      <c r="AI114" s="64">
        <v>20</v>
      </c>
      <c r="AK114" s="71" t="s">
        <v>239</v>
      </c>
      <c r="AL114" s="64">
        <v>6000</v>
      </c>
      <c r="AM114" s="71" t="s">
        <v>259</v>
      </c>
      <c r="AN114" s="64">
        <v>3060</v>
      </c>
      <c r="AO114" s="64">
        <v>3.06</v>
      </c>
      <c r="AP114" s="64" t="s">
        <v>893</v>
      </c>
      <c r="AR114" s="64">
        <v>64</v>
      </c>
      <c r="AS114" s="71" t="s">
        <v>240</v>
      </c>
      <c r="AT114" s="71"/>
      <c r="AU114" s="71"/>
      <c r="AV114" s="71"/>
      <c r="AW114" s="64">
        <v>20</v>
      </c>
      <c r="AX114" s="71" t="s">
        <v>244</v>
      </c>
      <c r="AY114" s="71" t="s">
        <v>277</v>
      </c>
      <c r="AZ114" s="71" t="s">
        <v>370</v>
      </c>
      <c r="BB114" s="71" t="s">
        <v>379</v>
      </c>
      <c r="BC114" s="65">
        <v>1.55</v>
      </c>
      <c r="BD114" s="65">
        <v>0.23</v>
      </c>
      <c r="BE114" s="65"/>
      <c r="BF114" s="65">
        <v>1.49</v>
      </c>
      <c r="BG114" s="115">
        <v>0.2</v>
      </c>
      <c r="BH114" s="115"/>
      <c r="BK114" s="73"/>
      <c r="BP114" s="71" t="s">
        <v>239</v>
      </c>
      <c r="BQ114" s="71">
        <v>33</v>
      </c>
      <c r="BR114" s="71" t="s">
        <v>247</v>
      </c>
      <c r="BS114" s="71" t="s">
        <v>254</v>
      </c>
      <c r="CG114" s="71" t="s">
        <v>237</v>
      </c>
      <c r="CH114" s="71" t="s">
        <v>237</v>
      </c>
      <c r="CJ114" s="71" t="s">
        <v>239</v>
      </c>
      <c r="CK114" s="71" t="s">
        <v>248</v>
      </c>
      <c r="CL114" s="64">
        <v>15</v>
      </c>
      <c r="CM114" s="64">
        <v>12</v>
      </c>
      <c r="CN114" s="71" t="s">
        <v>291</v>
      </c>
      <c r="CO114" s="71" t="s">
        <v>291</v>
      </c>
      <c r="CP114" s="71" t="s">
        <v>291</v>
      </c>
      <c r="CQ114" s="73" t="s">
        <v>470</v>
      </c>
      <c r="CR114" s="73" t="s">
        <v>471</v>
      </c>
      <c r="CU114" s="156">
        <v>45.7</v>
      </c>
      <c r="CV114" s="156">
        <v>11.9</v>
      </c>
      <c r="CW114" s="116">
        <v>42.1</v>
      </c>
      <c r="CX114" s="116">
        <v>11.6</v>
      </c>
      <c r="CY114" s="116">
        <f t="shared" si="97"/>
        <v>44.1</v>
      </c>
      <c r="CZ114" s="80">
        <f t="shared" si="93"/>
        <v>11.683486044577883</v>
      </c>
      <c r="DA114" s="71">
        <v>12</v>
      </c>
      <c r="DB114" s="117">
        <f t="shared" si="89"/>
        <v>80</v>
      </c>
      <c r="DC114" s="64">
        <v>8</v>
      </c>
      <c r="DD114" s="117">
        <f t="shared" si="94"/>
        <v>66.666666666666657</v>
      </c>
      <c r="DE114" s="80">
        <f t="shared" si="95"/>
        <v>74.074074074074076</v>
      </c>
      <c r="DG114" s="64">
        <f t="shared" si="96"/>
        <v>27</v>
      </c>
      <c r="DH114" s="71" t="s">
        <v>240</v>
      </c>
      <c r="DO114" s="71" t="s">
        <v>239</v>
      </c>
      <c r="DP114" s="116">
        <v>4</v>
      </c>
      <c r="DQ114" s="71">
        <v>1</v>
      </c>
      <c r="DR114" s="71">
        <v>6.5</v>
      </c>
      <c r="DS114" s="115">
        <f t="shared" si="78"/>
        <v>3.875</v>
      </c>
      <c r="DT114" s="115">
        <f t="shared" si="79"/>
        <v>1.6072751268321592</v>
      </c>
      <c r="JU114" s="71" t="s">
        <v>252</v>
      </c>
    </row>
    <row r="115" spans="1:281" s="97" customFormat="1" ht="20" customHeight="1" x14ac:dyDescent="0.2">
      <c r="A115" s="95"/>
      <c r="L115" s="148"/>
      <c r="P115" s="99"/>
      <c r="Q115" s="99"/>
      <c r="R115" s="99"/>
      <c r="S115" s="99"/>
      <c r="T115" s="99"/>
      <c r="U115" s="99"/>
    </row>
    <row r="116" spans="1:281" s="85" customFormat="1" ht="20" customHeight="1" x14ac:dyDescent="0.2">
      <c r="A116" s="83">
        <v>177</v>
      </c>
      <c r="B116" s="84" t="s">
        <v>639</v>
      </c>
      <c r="C116" s="84" t="s">
        <v>472</v>
      </c>
      <c r="D116" s="84" t="s">
        <v>231</v>
      </c>
      <c r="E116" s="85">
        <v>24</v>
      </c>
      <c r="F116" s="85" t="s">
        <v>239</v>
      </c>
      <c r="G116" s="84" t="s">
        <v>237</v>
      </c>
      <c r="H116" s="84">
        <v>30150790</v>
      </c>
      <c r="I116" s="84"/>
      <c r="J116" s="84" t="s">
        <v>473</v>
      </c>
      <c r="K116" s="85">
        <v>2019</v>
      </c>
      <c r="L116" s="119" t="s">
        <v>402</v>
      </c>
      <c r="N116" s="84" t="s">
        <v>234</v>
      </c>
      <c r="O116" s="84" t="s">
        <v>403</v>
      </c>
      <c r="P116" s="87" t="s">
        <v>822</v>
      </c>
      <c r="Q116" s="87"/>
      <c r="R116" s="87" t="s">
        <v>403</v>
      </c>
      <c r="S116" s="87"/>
      <c r="T116" s="87"/>
      <c r="U116" s="87"/>
      <c r="V116" s="84" t="s">
        <v>312</v>
      </c>
      <c r="W116" s="84" t="s">
        <v>237</v>
      </c>
      <c r="X116" s="84" t="s">
        <v>284</v>
      </c>
      <c r="Y116" s="84" t="s">
        <v>828</v>
      </c>
      <c r="Z116" s="84" t="s">
        <v>237</v>
      </c>
      <c r="AB116" s="84" t="s">
        <v>237</v>
      </c>
      <c r="AC116" s="84" t="s">
        <v>474</v>
      </c>
      <c r="AD116" s="84" t="s">
        <v>239</v>
      </c>
      <c r="AE116" s="84" t="s">
        <v>341</v>
      </c>
      <c r="AF116" s="84" t="s">
        <v>239</v>
      </c>
      <c r="AG116" s="84" t="s">
        <v>240</v>
      </c>
      <c r="AH116" s="84" t="s">
        <v>239</v>
      </c>
      <c r="AI116" s="85">
        <v>30</v>
      </c>
      <c r="AK116" s="84" t="s">
        <v>239</v>
      </c>
      <c r="AL116" s="85">
        <v>1500</v>
      </c>
      <c r="AM116" s="84" t="s">
        <v>241</v>
      </c>
      <c r="AN116" s="84" t="s">
        <v>404</v>
      </c>
      <c r="AO116" s="84"/>
      <c r="AP116" s="84"/>
      <c r="AQ116" s="84" t="s">
        <v>905</v>
      </c>
      <c r="AS116" s="84"/>
      <c r="AT116" s="84"/>
      <c r="AU116" s="84"/>
      <c r="AV116" s="84"/>
      <c r="AX116" s="84" t="s">
        <v>244</v>
      </c>
      <c r="AY116" s="84" t="s">
        <v>277</v>
      </c>
      <c r="AZ116" s="84" t="s">
        <v>296</v>
      </c>
      <c r="BB116" s="84" t="s">
        <v>459</v>
      </c>
      <c r="BC116" s="88">
        <v>2.2200000000000002</v>
      </c>
      <c r="BD116" s="88"/>
      <c r="BE116" s="88"/>
      <c r="BF116" s="103">
        <v>2.2999999999999998</v>
      </c>
      <c r="BI116" s="88">
        <v>0.35</v>
      </c>
      <c r="BJ116" s="85">
        <v>2</v>
      </c>
      <c r="BK116" s="89" t="str">
        <f t="shared" ref="BK116:BK117" si="98">IF(AND(BC116&lt;&gt;"",BF116&lt;&gt;""),IF(BC116&gt;BF116,"Case_greater_than_control","Control_greater_than_case"),"")</f>
        <v>Control_greater_than_case</v>
      </c>
      <c r="BP116" s="84" t="s">
        <v>240</v>
      </c>
      <c r="BQ116" s="84"/>
      <c r="BR116" s="84" t="s">
        <v>262</v>
      </c>
      <c r="CG116" s="84" t="s">
        <v>237</v>
      </c>
      <c r="CH116" s="84" t="s">
        <v>240</v>
      </c>
      <c r="CJ116" s="84" t="s">
        <v>239</v>
      </c>
      <c r="CK116" s="84" t="s">
        <v>248</v>
      </c>
      <c r="CL116" s="85">
        <v>26</v>
      </c>
      <c r="CM116" s="85">
        <v>22</v>
      </c>
      <c r="CN116" s="84" t="s">
        <v>249</v>
      </c>
      <c r="CO116" s="84" t="s">
        <v>249</v>
      </c>
      <c r="CP116" s="84" t="s">
        <v>249</v>
      </c>
      <c r="CQ116" s="89" t="s">
        <v>475</v>
      </c>
      <c r="CR116" s="84" t="s">
        <v>476</v>
      </c>
      <c r="CS116" s="88">
        <f>(2+2*7.7+22)/4</f>
        <v>9.85</v>
      </c>
      <c r="CT116" s="88">
        <f>SQRT(((2-2*7.7+22)^2)/4 + (22-2)^2/12)</f>
        <v>7.1988424995504197</v>
      </c>
      <c r="CU116" s="103">
        <f>(22+2*33.9+59)/4</f>
        <v>37.200000000000003</v>
      </c>
      <c r="CV116" s="103">
        <f>SQRT(((22-2*33.9+59)^2)/4 + (59-22)^2/12)</f>
        <v>12.555609636068388</v>
      </c>
      <c r="CW116" s="103">
        <f>(20+2*34.6+59)/4</f>
        <v>37.049999999999997</v>
      </c>
      <c r="CX116" s="103">
        <f>SQRT(((20-2*34.6+59)^2)/4 + (59-20)^2/12)</f>
        <v>12.278436382536661</v>
      </c>
      <c r="CY116" s="104">
        <f t="shared" si="97"/>
        <v>37.131250000000001</v>
      </c>
      <c r="CZ116" s="93">
        <f t="shared" ref="CZ116:CZ117" si="99">IF(OR(CY116="",CV116="",CX116=""),"",SQRT(((CL116-1)*(CV116^2) + (CM116-1)*(CX116^2) + CL116*(CU116-CY116)^2 + CM116*(CW116-CY116)^2) / (CL116+CM116-1)))</f>
        <v>12.297129450831054</v>
      </c>
      <c r="DA116" s="85">
        <v>19</v>
      </c>
      <c r="DB116" s="103">
        <f t="shared" si="89"/>
        <v>73.076923076923066</v>
      </c>
      <c r="DC116" s="85">
        <v>14</v>
      </c>
      <c r="DD116" s="103">
        <f t="shared" ref="DD116:DD117" si="100">IF(DC116="","",(DC116/CM116)*100)</f>
        <v>63.636363636363633</v>
      </c>
      <c r="DE116" s="93">
        <f t="shared" ref="DE116:DE117" si="101">IF(AND(DA116&lt;&gt;"",DC116&lt;&gt;""),(DA116+DC116)/(CL116+CM116)*100,
   IF(AND(DB116&lt;&gt;"",DD116&lt;&gt;""),(DB116*CL116 + DD116*CM116)/(CL116+CM116),
   ""))</f>
        <v>68.75</v>
      </c>
      <c r="DG116" s="85">
        <f t="shared" ref="DG116:DG117" si="102">SUM(CL116,CM116)</f>
        <v>48</v>
      </c>
      <c r="DH116" s="84" t="s">
        <v>237</v>
      </c>
      <c r="DI116" s="85">
        <v>0</v>
      </c>
      <c r="DJ116" s="85">
        <v>100</v>
      </c>
      <c r="DM116" s="84" t="s">
        <v>477</v>
      </c>
      <c r="DN116" s="84" t="s">
        <v>833</v>
      </c>
      <c r="DO116" s="84" t="s">
        <v>239</v>
      </c>
      <c r="DP116" s="84">
        <v>2.6</v>
      </c>
      <c r="DQ116" s="84">
        <v>1</v>
      </c>
      <c r="DR116" s="84">
        <v>6</v>
      </c>
      <c r="DS116" s="103">
        <f t="shared" si="78"/>
        <v>3.05</v>
      </c>
      <c r="DT116" s="103">
        <f t="shared" si="79"/>
        <v>1.7009801096230766</v>
      </c>
      <c r="JU116" s="84" t="s">
        <v>252</v>
      </c>
    </row>
    <row r="117" spans="1:281" s="64" customFormat="1" ht="20" customHeight="1" x14ac:dyDescent="0.2">
      <c r="A117" s="106">
        <v>177</v>
      </c>
      <c r="B117" s="71" t="s">
        <v>640</v>
      </c>
      <c r="C117" s="71" t="s">
        <v>472</v>
      </c>
      <c r="D117" s="71" t="s">
        <v>231</v>
      </c>
      <c r="E117" s="64">
        <v>24</v>
      </c>
      <c r="F117" s="64" t="s">
        <v>237</v>
      </c>
      <c r="G117" s="71" t="s">
        <v>237</v>
      </c>
      <c r="H117" s="71">
        <v>30150790</v>
      </c>
      <c r="I117" s="71"/>
      <c r="J117" s="71" t="s">
        <v>473</v>
      </c>
      <c r="K117" s="64">
        <v>2019</v>
      </c>
      <c r="L117" s="124" t="s">
        <v>402</v>
      </c>
      <c r="N117" s="71" t="s">
        <v>234</v>
      </c>
      <c r="O117" s="71" t="s">
        <v>403</v>
      </c>
      <c r="P117" s="108" t="s">
        <v>822</v>
      </c>
      <c r="Q117" s="108"/>
      <c r="R117" s="108" t="s">
        <v>403</v>
      </c>
      <c r="S117" s="108"/>
      <c r="T117" s="108"/>
      <c r="U117" s="108"/>
      <c r="V117" s="71" t="s">
        <v>312</v>
      </c>
      <c r="W117" s="71" t="s">
        <v>237</v>
      </c>
      <c r="X117" s="71" t="s">
        <v>284</v>
      </c>
      <c r="Y117" s="71" t="s">
        <v>828</v>
      </c>
      <c r="Z117" s="71" t="s">
        <v>237</v>
      </c>
      <c r="AB117" s="71" t="s">
        <v>237</v>
      </c>
      <c r="AC117" s="71" t="s">
        <v>474</v>
      </c>
      <c r="AD117" s="71" t="s">
        <v>239</v>
      </c>
      <c r="AE117" s="71" t="s">
        <v>341</v>
      </c>
      <c r="AF117" s="71" t="s">
        <v>239</v>
      </c>
      <c r="AG117" s="71" t="s">
        <v>240</v>
      </c>
      <c r="AH117" s="71" t="s">
        <v>239</v>
      </c>
      <c r="AI117" s="64">
        <v>30</v>
      </c>
      <c r="AK117" s="71" t="s">
        <v>239</v>
      </c>
      <c r="AL117" s="64">
        <v>1500</v>
      </c>
      <c r="AM117" s="71" t="s">
        <v>241</v>
      </c>
      <c r="AN117" s="71" t="s">
        <v>404</v>
      </c>
      <c r="AO117" s="71"/>
      <c r="AP117" s="71"/>
      <c r="AQ117" s="71" t="s">
        <v>905</v>
      </c>
      <c r="AS117" s="71"/>
      <c r="AT117" s="71"/>
      <c r="AU117" s="71"/>
      <c r="AV117" s="71"/>
      <c r="AX117" s="71" t="s">
        <v>244</v>
      </c>
      <c r="AY117" s="71" t="s">
        <v>277</v>
      </c>
      <c r="AZ117" s="71" t="s">
        <v>407</v>
      </c>
      <c r="BB117" s="71" t="s">
        <v>459</v>
      </c>
      <c r="BC117" s="65">
        <v>1.69</v>
      </c>
      <c r="BD117" s="65"/>
      <c r="BE117" s="65"/>
      <c r="BF117" s="115">
        <v>1.5</v>
      </c>
      <c r="BI117" s="114">
        <v>8.8999999999999996E-2</v>
      </c>
      <c r="BJ117" s="64">
        <v>2</v>
      </c>
      <c r="BK117" s="73" t="str">
        <f t="shared" si="98"/>
        <v>Case_greater_than_control</v>
      </c>
      <c r="BP117" s="71" t="s">
        <v>240</v>
      </c>
      <c r="BQ117" s="71"/>
      <c r="BR117" s="71" t="s">
        <v>262</v>
      </c>
      <c r="CG117" s="71" t="s">
        <v>237</v>
      </c>
      <c r="CH117" s="71" t="s">
        <v>240</v>
      </c>
      <c r="CJ117" s="71" t="s">
        <v>239</v>
      </c>
      <c r="CK117" s="71" t="s">
        <v>248</v>
      </c>
      <c r="CL117" s="64">
        <v>26</v>
      </c>
      <c r="CM117" s="64">
        <v>22</v>
      </c>
      <c r="CN117" s="71" t="s">
        <v>249</v>
      </c>
      <c r="CO117" s="71" t="s">
        <v>249</v>
      </c>
      <c r="CP117" s="71" t="s">
        <v>249</v>
      </c>
      <c r="CQ117" s="71" t="s">
        <v>478</v>
      </c>
      <c r="CR117" s="71" t="s">
        <v>476</v>
      </c>
      <c r="CS117" s="65">
        <f>(2+2*7.7+22)/4</f>
        <v>9.85</v>
      </c>
      <c r="CT117" s="65">
        <f>SQRT(((2-2*7.7+22)^2)/4 + (22-2)^2/12)</f>
        <v>7.1988424995504197</v>
      </c>
      <c r="CU117" s="115">
        <f>(22+2*33.9+59)/4</f>
        <v>37.200000000000003</v>
      </c>
      <c r="CV117" s="115">
        <f>SQRT(((22-2*33.9+59)^2)/4 + (59-22)^2/12)</f>
        <v>12.555609636068388</v>
      </c>
      <c r="CW117" s="115">
        <f>(20+2*34.6+59)/4</f>
        <v>37.049999999999997</v>
      </c>
      <c r="CX117" s="115">
        <f>SQRT(((20-2*34.6+59)^2)/4 + (59-20)^2/12)</f>
        <v>12.278436382536661</v>
      </c>
      <c r="CY117" s="116">
        <f t="shared" si="97"/>
        <v>37.131250000000001</v>
      </c>
      <c r="CZ117" s="80">
        <f t="shared" si="99"/>
        <v>12.297129450831054</v>
      </c>
      <c r="DA117" s="64">
        <v>19</v>
      </c>
      <c r="DB117" s="115">
        <f t="shared" si="89"/>
        <v>73.076923076923066</v>
      </c>
      <c r="DC117" s="64">
        <v>14</v>
      </c>
      <c r="DD117" s="115">
        <f t="shared" si="100"/>
        <v>63.636363636363633</v>
      </c>
      <c r="DE117" s="80">
        <f t="shared" si="101"/>
        <v>68.75</v>
      </c>
      <c r="DG117" s="64">
        <f t="shared" si="102"/>
        <v>48</v>
      </c>
      <c r="DH117" s="71" t="s">
        <v>237</v>
      </c>
      <c r="DI117" s="64">
        <v>0</v>
      </c>
      <c r="DJ117" s="64">
        <v>100</v>
      </c>
      <c r="DM117" s="71" t="s">
        <v>477</v>
      </c>
      <c r="DN117" s="71" t="s">
        <v>833</v>
      </c>
      <c r="DO117" s="71" t="s">
        <v>239</v>
      </c>
      <c r="DP117" s="71">
        <v>2.6</v>
      </c>
      <c r="DQ117" s="71">
        <v>1</v>
      </c>
      <c r="DR117" s="71">
        <v>6</v>
      </c>
      <c r="DS117" s="115">
        <f t="shared" si="78"/>
        <v>3.05</v>
      </c>
      <c r="DT117" s="115">
        <f t="shared" si="79"/>
        <v>1.7009801096230766</v>
      </c>
      <c r="JU117" s="71" t="s">
        <v>252</v>
      </c>
    </row>
    <row r="118" spans="1:281" s="97" customFormat="1" ht="20" customHeight="1" x14ac:dyDescent="0.2">
      <c r="A118" s="95"/>
      <c r="L118" s="148"/>
      <c r="P118" s="99"/>
      <c r="Q118" s="99"/>
      <c r="R118" s="99"/>
      <c r="S118" s="99"/>
      <c r="T118" s="99"/>
      <c r="U118" s="99"/>
    </row>
    <row r="119" spans="1:281" s="85" customFormat="1" ht="20" customHeight="1" x14ac:dyDescent="0.2">
      <c r="A119" s="83">
        <v>179</v>
      </c>
      <c r="B119" s="84" t="s">
        <v>641</v>
      </c>
      <c r="C119" s="84" t="s">
        <v>479</v>
      </c>
      <c r="D119" s="84" t="s">
        <v>231</v>
      </c>
      <c r="E119" s="85">
        <v>25</v>
      </c>
      <c r="F119" s="85" t="s">
        <v>239</v>
      </c>
      <c r="G119" s="84" t="s">
        <v>237</v>
      </c>
      <c r="H119" s="84">
        <v>31666809</v>
      </c>
      <c r="I119" s="84" t="s">
        <v>976</v>
      </c>
      <c r="J119" s="84" t="s">
        <v>480</v>
      </c>
      <c r="K119" s="85">
        <v>2019</v>
      </c>
      <c r="L119" s="157" t="s">
        <v>481</v>
      </c>
      <c r="N119" s="84" t="s">
        <v>234</v>
      </c>
      <c r="O119" s="84" t="s">
        <v>419</v>
      </c>
      <c r="P119" s="87" t="s">
        <v>816</v>
      </c>
      <c r="Q119" s="87" t="s">
        <v>464</v>
      </c>
      <c r="R119" s="87"/>
      <c r="S119" s="87"/>
      <c r="T119" s="87"/>
      <c r="U119" s="87"/>
      <c r="V119" s="84" t="s">
        <v>236</v>
      </c>
      <c r="W119" s="84" t="s">
        <v>237</v>
      </c>
      <c r="X119" s="84" t="s">
        <v>257</v>
      </c>
      <c r="Y119" s="84" t="s">
        <v>829</v>
      </c>
      <c r="Z119" s="84" t="s">
        <v>239</v>
      </c>
      <c r="AA119" s="85">
        <v>1024</v>
      </c>
      <c r="AB119" s="154" t="s">
        <v>258</v>
      </c>
      <c r="AC119" s="84" t="s">
        <v>934</v>
      </c>
      <c r="AD119" s="84" t="s">
        <v>239</v>
      </c>
      <c r="AE119" s="84" t="s">
        <v>482</v>
      </c>
      <c r="AF119" s="84" t="s">
        <v>239</v>
      </c>
      <c r="AG119" s="84" t="s">
        <v>240</v>
      </c>
      <c r="AH119" s="84" t="s">
        <v>237</v>
      </c>
      <c r="AJ119" s="84" t="s">
        <v>483</v>
      </c>
      <c r="AK119" s="84" t="s">
        <v>239</v>
      </c>
      <c r="AL119" s="85">
        <v>1500</v>
      </c>
      <c r="AM119" s="84" t="s">
        <v>259</v>
      </c>
      <c r="AN119" s="84" t="s">
        <v>260</v>
      </c>
      <c r="AO119" s="84"/>
      <c r="AP119" s="84"/>
      <c r="AQ119" s="84"/>
      <c r="AR119" s="89" t="s">
        <v>261</v>
      </c>
      <c r="AS119" s="84"/>
      <c r="AT119" s="84"/>
      <c r="AU119" s="84"/>
      <c r="AV119" s="84"/>
      <c r="AX119" s="84" t="s">
        <v>244</v>
      </c>
      <c r="AY119" s="84" t="s">
        <v>277</v>
      </c>
      <c r="AZ119" s="120" t="s">
        <v>484</v>
      </c>
      <c r="BB119" s="84" t="s">
        <v>459</v>
      </c>
      <c r="BC119" s="103">
        <v>4.7</v>
      </c>
      <c r="BD119" s="103"/>
      <c r="BE119" s="103"/>
      <c r="BF119" s="103">
        <v>4.9000000000000004</v>
      </c>
      <c r="BI119" s="85">
        <v>5.0000000000000001E-3</v>
      </c>
      <c r="BJ119" s="85">
        <v>2</v>
      </c>
      <c r="BK119" s="89" t="str">
        <f t="shared" ref="BK119:BK122" si="103">IF(AND(BC119&lt;&gt;"",BF119&lt;&gt;""),IF(BC119&gt;BF119,"Case_greater_than_control","Control_greater_than_case"),"")</f>
        <v>Control_greater_than_case</v>
      </c>
      <c r="BP119" s="84" t="s">
        <v>240</v>
      </c>
      <c r="BR119" s="84" t="s">
        <v>262</v>
      </c>
      <c r="BT119" s="88">
        <v>50.46</v>
      </c>
      <c r="BU119" s="88"/>
      <c r="BV119" s="88">
        <v>50.91</v>
      </c>
      <c r="BW119" s="88"/>
      <c r="BX119" s="88">
        <v>36.92</v>
      </c>
      <c r="BY119" s="88">
        <v>0.61</v>
      </c>
      <c r="BZ119" s="88">
        <v>36.82</v>
      </c>
      <c r="CA119" s="88">
        <v>0.75</v>
      </c>
      <c r="CB119" s="88">
        <v>12.62</v>
      </c>
      <c r="CC119" s="88">
        <v>0.75</v>
      </c>
      <c r="CD119" s="88">
        <v>11.89</v>
      </c>
      <c r="CE119" s="88">
        <v>0.79</v>
      </c>
      <c r="CF119" s="84"/>
      <c r="CG119" s="84" t="s">
        <v>237</v>
      </c>
      <c r="CH119" s="84" t="s">
        <v>240</v>
      </c>
      <c r="CJ119" s="84" t="s">
        <v>239</v>
      </c>
      <c r="CK119" s="84" t="s">
        <v>485</v>
      </c>
      <c r="CL119" s="85">
        <v>45</v>
      </c>
      <c r="CM119" s="85">
        <v>40</v>
      </c>
      <c r="CN119" s="84" t="s">
        <v>249</v>
      </c>
      <c r="CO119" s="84" t="s">
        <v>249</v>
      </c>
      <c r="CP119" s="84" t="s">
        <v>249</v>
      </c>
      <c r="CQ119" s="84" t="s">
        <v>486</v>
      </c>
      <c r="CR119" s="84" t="s">
        <v>487</v>
      </c>
      <c r="CS119" s="85">
        <v>7.9</v>
      </c>
      <c r="CU119" s="85">
        <v>43.4</v>
      </c>
      <c r="CW119" s="85">
        <v>42.7</v>
      </c>
      <c r="CY119" s="104">
        <f t="shared" si="97"/>
        <v>43.070588235294117</v>
      </c>
      <c r="CZ119" s="93" t="str">
        <f t="shared" ref="CZ119:CZ122" si="104">IF(OR(CY119="",CV119="",CX119=""),"",SQRT(((CL119-1)*(CV119^2) + (CM119-1)*(CX119^2) + CL119*(CU119-CY119)^2 + CM119*(CW119-CY119)^2) / (CL119+CM119-1)))</f>
        <v/>
      </c>
      <c r="DB119" s="105">
        <v>73</v>
      </c>
      <c r="DD119" s="105">
        <v>63</v>
      </c>
      <c r="DE119" s="93">
        <f t="shared" ref="DE119:DE122" si="105">IF(AND(DA119&lt;&gt;"",DC119&lt;&gt;""),(DA119+DC119)/(CL119+CM119)*100,
   IF(AND(DB119&lt;&gt;"",DD119&lt;&gt;""),(DB119*CL119 + DD119*CM119)/(CL119+CM119),
   ""))</f>
        <v>68.294117647058826</v>
      </c>
      <c r="DG119" s="85">
        <f t="shared" ref="DG119:DG122" si="106">SUM(CL119,CM119)</f>
        <v>85</v>
      </c>
      <c r="DH119" s="84" t="s">
        <v>237</v>
      </c>
      <c r="DI119" s="85">
        <v>0</v>
      </c>
      <c r="DJ119" s="85">
        <v>100</v>
      </c>
      <c r="DK119" s="84" t="s">
        <v>239</v>
      </c>
      <c r="DL119" s="84" t="s">
        <v>488</v>
      </c>
      <c r="DM119" s="84" t="s">
        <v>489</v>
      </c>
      <c r="DN119" s="84" t="s">
        <v>489</v>
      </c>
      <c r="DO119" s="84" t="s">
        <v>239</v>
      </c>
      <c r="DP119" s="84"/>
      <c r="DQ119" s="84"/>
      <c r="DR119" s="84"/>
      <c r="DS119" s="103">
        <v>2</v>
      </c>
      <c r="DU119" s="103">
        <v>94.8</v>
      </c>
      <c r="DW119" s="103">
        <v>88</v>
      </c>
      <c r="DY119" s="103">
        <v>96</v>
      </c>
      <c r="EA119" s="103">
        <v>84.7</v>
      </c>
      <c r="EC119" s="103">
        <v>102.8</v>
      </c>
      <c r="EE119" s="103">
        <v>99.8</v>
      </c>
      <c r="EG119" s="103">
        <v>99.8</v>
      </c>
      <c r="EI119" s="103">
        <v>94.3</v>
      </c>
      <c r="EK119" s="103">
        <v>94.6</v>
      </c>
      <c r="EM119" s="103">
        <v>86.8</v>
      </c>
      <c r="HA119" s="103">
        <v>59.1</v>
      </c>
      <c r="HB119" s="103"/>
      <c r="HC119" s="103">
        <v>50.9</v>
      </c>
      <c r="HY119" s="103">
        <v>3.2</v>
      </c>
      <c r="HZ119" s="103"/>
      <c r="IA119" s="103">
        <v>7.5</v>
      </c>
      <c r="IB119" s="103"/>
      <c r="IC119" s="103">
        <v>3.1</v>
      </c>
      <c r="ID119" s="103"/>
      <c r="IE119" s="103">
        <v>6.7</v>
      </c>
      <c r="IF119" s="103"/>
      <c r="IG119" s="103">
        <v>7.7</v>
      </c>
      <c r="IH119" s="103"/>
      <c r="II119" s="103">
        <v>13</v>
      </c>
      <c r="IJ119" s="103"/>
      <c r="IK119" s="103">
        <v>14.1</v>
      </c>
      <c r="IL119" s="103"/>
      <c r="IM119" s="103">
        <v>26.4</v>
      </c>
      <c r="JE119" s="103">
        <v>7.7</v>
      </c>
      <c r="JF119" s="103"/>
      <c r="JG119" s="103">
        <v>16.3</v>
      </c>
      <c r="JH119" s="103"/>
      <c r="JI119" s="103">
        <v>5.8</v>
      </c>
      <c r="JJ119" s="103"/>
      <c r="JK119" s="103">
        <v>18</v>
      </c>
      <c r="JL119" s="103"/>
      <c r="JM119" s="103">
        <v>13.5</v>
      </c>
      <c r="JN119" s="103"/>
      <c r="JO119" s="103">
        <v>34.4</v>
      </c>
      <c r="JU119" s="84" t="s">
        <v>252</v>
      </c>
    </row>
    <row r="120" spans="1:281" s="8" customFormat="1" ht="20" customHeight="1" x14ac:dyDescent="0.2">
      <c r="A120" s="35">
        <v>179</v>
      </c>
      <c r="B120" s="7" t="s">
        <v>642</v>
      </c>
      <c r="C120" s="7" t="s">
        <v>479</v>
      </c>
      <c r="D120" s="7" t="s">
        <v>231</v>
      </c>
      <c r="E120" s="8">
        <v>25</v>
      </c>
      <c r="F120" s="8" t="s">
        <v>237</v>
      </c>
      <c r="G120" s="7" t="s">
        <v>237</v>
      </c>
      <c r="H120" s="7">
        <v>31666809</v>
      </c>
      <c r="I120" s="7" t="s">
        <v>977</v>
      </c>
      <c r="J120" s="7" t="s">
        <v>480</v>
      </c>
      <c r="K120" s="8">
        <v>2019</v>
      </c>
      <c r="L120" s="13" t="s">
        <v>481</v>
      </c>
      <c r="N120" s="7" t="s">
        <v>234</v>
      </c>
      <c r="O120" s="7" t="s">
        <v>419</v>
      </c>
      <c r="P120" s="36" t="s">
        <v>816</v>
      </c>
      <c r="Q120" s="36" t="s">
        <v>464</v>
      </c>
      <c r="R120" s="36"/>
      <c r="S120" s="36"/>
      <c r="T120" s="36"/>
      <c r="U120" s="36"/>
      <c r="V120" s="7" t="s">
        <v>236</v>
      </c>
      <c r="W120" s="7" t="s">
        <v>237</v>
      </c>
      <c r="X120" s="7" t="s">
        <v>257</v>
      </c>
      <c r="Y120" s="7" t="s">
        <v>829</v>
      </c>
      <c r="Z120" s="7" t="s">
        <v>239</v>
      </c>
      <c r="AA120" s="8">
        <v>1024</v>
      </c>
      <c r="AB120" s="49" t="s">
        <v>258</v>
      </c>
      <c r="AC120" s="7" t="s">
        <v>934</v>
      </c>
      <c r="AD120" s="7" t="s">
        <v>239</v>
      </c>
      <c r="AE120" s="7" t="s">
        <v>482</v>
      </c>
      <c r="AF120" s="7" t="s">
        <v>239</v>
      </c>
      <c r="AG120" s="7" t="s">
        <v>240</v>
      </c>
      <c r="AH120" s="7" t="s">
        <v>237</v>
      </c>
      <c r="AJ120" s="7" t="s">
        <v>483</v>
      </c>
      <c r="AK120" s="7" t="s">
        <v>239</v>
      </c>
      <c r="AL120" s="8">
        <v>1500</v>
      </c>
      <c r="AM120" s="7" t="s">
        <v>259</v>
      </c>
      <c r="AN120" s="7" t="s">
        <v>260</v>
      </c>
      <c r="AO120" s="7"/>
      <c r="AP120" s="7"/>
      <c r="AQ120" s="7"/>
      <c r="AR120" s="5" t="s">
        <v>261</v>
      </c>
      <c r="AS120" s="7"/>
      <c r="AT120" s="7"/>
      <c r="AU120" s="7"/>
      <c r="AV120" s="7"/>
      <c r="AX120" s="7" t="s">
        <v>244</v>
      </c>
      <c r="AY120" s="7" t="s">
        <v>277</v>
      </c>
      <c r="AZ120" s="44" t="s">
        <v>490</v>
      </c>
      <c r="BB120" s="7" t="s">
        <v>459</v>
      </c>
      <c r="BC120" s="41">
        <v>17.399999999999999</v>
      </c>
      <c r="BD120" s="41"/>
      <c r="BE120" s="41"/>
      <c r="BF120" s="41">
        <v>18.100000000000001</v>
      </c>
      <c r="BI120" s="8">
        <v>1.4999999999999999E-2</v>
      </c>
      <c r="BJ120" s="8">
        <v>2</v>
      </c>
      <c r="BK120" s="5" t="str">
        <f t="shared" si="103"/>
        <v>Control_greater_than_case</v>
      </c>
      <c r="BP120" s="7" t="s">
        <v>240</v>
      </c>
      <c r="BR120" s="7" t="s">
        <v>262</v>
      </c>
      <c r="BT120" s="11">
        <v>50.46</v>
      </c>
      <c r="BU120" s="11"/>
      <c r="BV120" s="11">
        <v>50.91</v>
      </c>
      <c r="BW120" s="11"/>
      <c r="BX120" s="11">
        <v>36.92</v>
      </c>
      <c r="BY120" s="11">
        <v>0.61</v>
      </c>
      <c r="BZ120" s="11">
        <v>36.82</v>
      </c>
      <c r="CA120" s="11">
        <v>0.75</v>
      </c>
      <c r="CB120" s="11">
        <v>12.62</v>
      </c>
      <c r="CC120" s="11">
        <v>0.75</v>
      </c>
      <c r="CD120" s="11">
        <v>11.89</v>
      </c>
      <c r="CE120" s="11">
        <v>0.79</v>
      </c>
      <c r="CF120" s="7"/>
      <c r="CG120" s="7" t="s">
        <v>237</v>
      </c>
      <c r="CH120" s="7" t="s">
        <v>240</v>
      </c>
      <c r="CJ120" s="7" t="s">
        <v>239</v>
      </c>
      <c r="CK120" s="7" t="s">
        <v>485</v>
      </c>
      <c r="CL120" s="8">
        <v>45</v>
      </c>
      <c r="CM120" s="8">
        <v>40</v>
      </c>
      <c r="CN120" s="7" t="s">
        <v>249</v>
      </c>
      <c r="CO120" s="7" t="s">
        <v>249</v>
      </c>
      <c r="CP120" s="7" t="s">
        <v>249</v>
      </c>
      <c r="CQ120" s="7" t="s">
        <v>486</v>
      </c>
      <c r="CR120" s="7" t="s">
        <v>487</v>
      </c>
      <c r="CS120" s="8">
        <v>7.9</v>
      </c>
      <c r="CU120" s="8">
        <v>43.4</v>
      </c>
      <c r="CW120" s="8">
        <v>42.7</v>
      </c>
      <c r="CY120" s="42">
        <f t="shared" si="97"/>
        <v>43.070588235294117</v>
      </c>
      <c r="CZ120" s="28" t="str">
        <f t="shared" si="104"/>
        <v/>
      </c>
      <c r="DB120" s="43">
        <v>73</v>
      </c>
      <c r="DD120" s="43">
        <v>63</v>
      </c>
      <c r="DE120" s="28">
        <f t="shared" si="105"/>
        <v>68.294117647058826</v>
      </c>
      <c r="DG120" s="8">
        <f t="shared" si="106"/>
        <v>85</v>
      </c>
      <c r="DH120" s="7" t="s">
        <v>237</v>
      </c>
      <c r="DI120" s="8">
        <v>0</v>
      </c>
      <c r="DJ120" s="8">
        <v>100</v>
      </c>
      <c r="DK120" s="7" t="s">
        <v>239</v>
      </c>
      <c r="DL120" s="7" t="s">
        <v>488</v>
      </c>
      <c r="DM120" s="7" t="s">
        <v>489</v>
      </c>
      <c r="DN120" s="7" t="s">
        <v>489</v>
      </c>
      <c r="DO120" s="7" t="s">
        <v>239</v>
      </c>
      <c r="DP120" s="7"/>
      <c r="DQ120" s="7"/>
      <c r="DR120" s="7"/>
      <c r="DS120" s="41">
        <v>2</v>
      </c>
      <c r="DU120" s="41">
        <v>94.8</v>
      </c>
      <c r="DW120" s="41">
        <v>88</v>
      </c>
      <c r="DY120" s="41">
        <v>96</v>
      </c>
      <c r="EA120" s="41">
        <v>84.7</v>
      </c>
      <c r="EC120" s="41">
        <v>102.8</v>
      </c>
      <c r="EE120" s="41">
        <v>99.8</v>
      </c>
      <c r="EG120" s="41">
        <v>99.8</v>
      </c>
      <c r="EI120" s="41">
        <v>94.3</v>
      </c>
      <c r="EK120" s="41">
        <v>94.6</v>
      </c>
      <c r="EM120" s="41">
        <v>86.8</v>
      </c>
      <c r="HA120" s="41">
        <v>59.1</v>
      </c>
      <c r="HB120" s="41"/>
      <c r="HC120" s="41">
        <v>50.9</v>
      </c>
      <c r="HY120" s="41">
        <v>3.2</v>
      </c>
      <c r="HZ120" s="41"/>
      <c r="IA120" s="41">
        <v>7.5</v>
      </c>
      <c r="IB120" s="41"/>
      <c r="IC120" s="41">
        <v>3.1</v>
      </c>
      <c r="ID120" s="41"/>
      <c r="IE120" s="41">
        <v>6.7</v>
      </c>
      <c r="IF120" s="41"/>
      <c r="IG120" s="41">
        <v>7.7</v>
      </c>
      <c r="IH120" s="41"/>
      <c r="II120" s="41">
        <v>13</v>
      </c>
      <c r="IJ120" s="41"/>
      <c r="IK120" s="41">
        <v>14.1</v>
      </c>
      <c r="IL120" s="41"/>
      <c r="IM120" s="41">
        <v>26.4</v>
      </c>
      <c r="JE120" s="41">
        <v>7.7</v>
      </c>
      <c r="JF120" s="41"/>
      <c r="JG120" s="41">
        <v>16.3</v>
      </c>
      <c r="JH120" s="41"/>
      <c r="JI120" s="41">
        <v>5.8</v>
      </c>
      <c r="JJ120" s="41"/>
      <c r="JK120" s="41">
        <v>18</v>
      </c>
      <c r="JL120" s="41"/>
      <c r="JM120" s="41">
        <v>13.5</v>
      </c>
      <c r="JN120" s="41"/>
      <c r="JO120" s="41">
        <v>34.4</v>
      </c>
      <c r="JU120" s="7" t="s">
        <v>252</v>
      </c>
    </row>
    <row r="121" spans="1:281" s="8" customFormat="1" ht="20" customHeight="1" x14ac:dyDescent="0.2">
      <c r="A121" s="35">
        <v>179</v>
      </c>
      <c r="B121" s="7" t="s">
        <v>643</v>
      </c>
      <c r="C121" s="7" t="s">
        <v>479</v>
      </c>
      <c r="D121" s="7" t="s">
        <v>231</v>
      </c>
      <c r="E121" s="8">
        <v>25</v>
      </c>
      <c r="F121" s="8" t="s">
        <v>237</v>
      </c>
      <c r="G121" s="7" t="s">
        <v>237</v>
      </c>
      <c r="H121" s="7">
        <v>31666809</v>
      </c>
      <c r="I121" s="7" t="s">
        <v>978</v>
      </c>
      <c r="J121" s="7" t="s">
        <v>480</v>
      </c>
      <c r="K121" s="8">
        <v>2019</v>
      </c>
      <c r="L121" s="13" t="s">
        <v>481</v>
      </c>
      <c r="N121" s="7" t="s">
        <v>234</v>
      </c>
      <c r="O121" s="7" t="s">
        <v>419</v>
      </c>
      <c r="P121" s="36" t="s">
        <v>816</v>
      </c>
      <c r="Q121" s="36" t="s">
        <v>464</v>
      </c>
      <c r="R121" s="36"/>
      <c r="S121" s="36"/>
      <c r="T121" s="36"/>
      <c r="U121" s="36"/>
      <c r="V121" s="7" t="s">
        <v>236</v>
      </c>
      <c r="W121" s="7" t="s">
        <v>237</v>
      </c>
      <c r="X121" s="7" t="s">
        <v>257</v>
      </c>
      <c r="Y121" s="7" t="s">
        <v>829</v>
      </c>
      <c r="Z121" s="7" t="s">
        <v>239</v>
      </c>
      <c r="AA121" s="8">
        <v>1024</v>
      </c>
      <c r="AB121" s="49" t="s">
        <v>258</v>
      </c>
      <c r="AC121" s="7" t="s">
        <v>934</v>
      </c>
      <c r="AD121" s="7" t="s">
        <v>239</v>
      </c>
      <c r="AE121" s="7" t="s">
        <v>482</v>
      </c>
      <c r="AF121" s="7" t="s">
        <v>239</v>
      </c>
      <c r="AG121" s="7" t="s">
        <v>240</v>
      </c>
      <c r="AH121" s="7" t="s">
        <v>237</v>
      </c>
      <c r="AJ121" s="7" t="s">
        <v>483</v>
      </c>
      <c r="AK121" s="7" t="s">
        <v>239</v>
      </c>
      <c r="AL121" s="8">
        <v>1500</v>
      </c>
      <c r="AM121" s="7" t="s">
        <v>259</v>
      </c>
      <c r="AN121" s="7" t="s">
        <v>260</v>
      </c>
      <c r="AO121" s="7"/>
      <c r="AP121" s="7"/>
      <c r="AQ121" s="7"/>
      <c r="AR121" s="5" t="s">
        <v>261</v>
      </c>
      <c r="AS121" s="7"/>
      <c r="AT121" s="7"/>
      <c r="AU121" s="7"/>
      <c r="AV121" s="7"/>
      <c r="AX121" s="7" t="s">
        <v>244</v>
      </c>
      <c r="AY121" s="7" t="s">
        <v>277</v>
      </c>
      <c r="AZ121" s="44" t="s">
        <v>491</v>
      </c>
      <c r="BB121" s="7" t="s">
        <v>459</v>
      </c>
      <c r="BC121" s="41">
        <v>8.8000000000000007</v>
      </c>
      <c r="BD121" s="41"/>
      <c r="BE121" s="41"/>
      <c r="BF121" s="41">
        <v>9.1999999999999993</v>
      </c>
      <c r="BI121" s="8">
        <v>3.7999999999999999E-2</v>
      </c>
      <c r="BJ121" s="8">
        <v>2</v>
      </c>
      <c r="BK121" s="5" t="str">
        <f t="shared" si="103"/>
        <v>Control_greater_than_case</v>
      </c>
      <c r="BP121" s="7" t="s">
        <v>240</v>
      </c>
      <c r="BR121" s="7" t="s">
        <v>262</v>
      </c>
      <c r="BT121" s="11">
        <v>50.46</v>
      </c>
      <c r="BU121" s="11"/>
      <c r="BV121" s="11">
        <v>50.91</v>
      </c>
      <c r="BW121" s="11"/>
      <c r="BX121" s="11">
        <v>36.92</v>
      </c>
      <c r="BY121" s="11">
        <v>0.61</v>
      </c>
      <c r="BZ121" s="11">
        <v>36.82</v>
      </c>
      <c r="CA121" s="11">
        <v>0.75</v>
      </c>
      <c r="CB121" s="11">
        <v>12.62</v>
      </c>
      <c r="CC121" s="11">
        <v>0.75</v>
      </c>
      <c r="CD121" s="11">
        <v>11.89</v>
      </c>
      <c r="CE121" s="11">
        <v>0.79</v>
      </c>
      <c r="CF121" s="7"/>
      <c r="CG121" s="7" t="s">
        <v>237</v>
      </c>
      <c r="CH121" s="7" t="s">
        <v>240</v>
      </c>
      <c r="CJ121" s="7" t="s">
        <v>239</v>
      </c>
      <c r="CK121" s="7" t="s">
        <v>485</v>
      </c>
      <c r="CL121" s="8">
        <v>45</v>
      </c>
      <c r="CM121" s="8">
        <v>40</v>
      </c>
      <c r="CN121" s="7" t="s">
        <v>249</v>
      </c>
      <c r="CO121" s="7" t="s">
        <v>249</v>
      </c>
      <c r="CP121" s="7" t="s">
        <v>249</v>
      </c>
      <c r="CQ121" s="7" t="s">
        <v>486</v>
      </c>
      <c r="CR121" s="7" t="s">
        <v>487</v>
      </c>
      <c r="CS121" s="8">
        <v>7.9</v>
      </c>
      <c r="CU121" s="8">
        <v>43.4</v>
      </c>
      <c r="CW121" s="8">
        <v>42.7</v>
      </c>
      <c r="CY121" s="42">
        <f t="shared" si="97"/>
        <v>43.070588235294117</v>
      </c>
      <c r="CZ121" s="28" t="str">
        <f t="shared" si="104"/>
        <v/>
      </c>
      <c r="DB121" s="43">
        <v>73</v>
      </c>
      <c r="DD121" s="43">
        <v>63</v>
      </c>
      <c r="DE121" s="28">
        <f t="shared" si="105"/>
        <v>68.294117647058826</v>
      </c>
      <c r="DG121" s="8">
        <f t="shared" si="106"/>
        <v>85</v>
      </c>
      <c r="DH121" s="7" t="s">
        <v>237</v>
      </c>
      <c r="DI121" s="8">
        <v>0</v>
      </c>
      <c r="DJ121" s="8">
        <v>100</v>
      </c>
      <c r="DK121" s="7" t="s">
        <v>239</v>
      </c>
      <c r="DL121" s="7" t="s">
        <v>488</v>
      </c>
      <c r="DM121" s="7" t="s">
        <v>489</v>
      </c>
      <c r="DN121" s="7" t="s">
        <v>489</v>
      </c>
      <c r="DO121" s="7" t="s">
        <v>239</v>
      </c>
      <c r="DP121" s="7"/>
      <c r="DQ121" s="7"/>
      <c r="DR121" s="7"/>
      <c r="DS121" s="41">
        <v>2</v>
      </c>
      <c r="DU121" s="41">
        <v>94.8</v>
      </c>
      <c r="DW121" s="41">
        <v>88</v>
      </c>
      <c r="DY121" s="41">
        <v>96</v>
      </c>
      <c r="EA121" s="41">
        <v>84.7</v>
      </c>
      <c r="EC121" s="41">
        <v>102.8</v>
      </c>
      <c r="EE121" s="41">
        <v>99.8</v>
      </c>
      <c r="EG121" s="41">
        <v>99.8</v>
      </c>
      <c r="EI121" s="41">
        <v>94.3</v>
      </c>
      <c r="EK121" s="41">
        <v>94.6</v>
      </c>
      <c r="EM121" s="41">
        <v>86.8</v>
      </c>
      <c r="HA121" s="41">
        <v>59.1</v>
      </c>
      <c r="HB121" s="41"/>
      <c r="HC121" s="41">
        <v>50.9</v>
      </c>
      <c r="HY121" s="41">
        <v>3.2</v>
      </c>
      <c r="HZ121" s="41"/>
      <c r="IA121" s="41">
        <v>7.5</v>
      </c>
      <c r="IB121" s="41"/>
      <c r="IC121" s="41">
        <v>3.1</v>
      </c>
      <c r="ID121" s="41"/>
      <c r="IE121" s="41">
        <v>6.7</v>
      </c>
      <c r="IF121" s="41"/>
      <c r="IG121" s="41">
        <v>7.7</v>
      </c>
      <c r="IH121" s="41"/>
      <c r="II121" s="41">
        <v>13</v>
      </c>
      <c r="IJ121" s="41"/>
      <c r="IK121" s="41">
        <v>14.1</v>
      </c>
      <c r="IL121" s="41"/>
      <c r="IM121" s="41">
        <v>26.4</v>
      </c>
      <c r="JE121" s="41">
        <v>7.7</v>
      </c>
      <c r="JF121" s="41"/>
      <c r="JG121" s="41">
        <v>16.3</v>
      </c>
      <c r="JH121" s="41"/>
      <c r="JI121" s="41">
        <v>5.8</v>
      </c>
      <c r="JJ121" s="41"/>
      <c r="JK121" s="41">
        <v>18</v>
      </c>
      <c r="JL121" s="41"/>
      <c r="JM121" s="41">
        <v>13.5</v>
      </c>
      <c r="JN121" s="41"/>
      <c r="JO121" s="41">
        <v>34.4</v>
      </c>
      <c r="JU121" s="7" t="s">
        <v>252</v>
      </c>
    </row>
    <row r="122" spans="1:281" s="64" customFormat="1" ht="20" customHeight="1" x14ac:dyDescent="0.2">
      <c r="A122" s="106">
        <v>179</v>
      </c>
      <c r="B122" s="71" t="s">
        <v>644</v>
      </c>
      <c r="C122" s="71" t="s">
        <v>479</v>
      </c>
      <c r="D122" s="71" t="s">
        <v>231</v>
      </c>
      <c r="E122" s="64">
        <v>25</v>
      </c>
      <c r="F122" s="64" t="s">
        <v>237</v>
      </c>
      <c r="G122" s="71" t="s">
        <v>237</v>
      </c>
      <c r="H122" s="71">
        <v>31666809</v>
      </c>
      <c r="I122" s="71" t="s">
        <v>979</v>
      </c>
      <c r="J122" s="71" t="s">
        <v>480</v>
      </c>
      <c r="K122" s="64">
        <v>2019</v>
      </c>
      <c r="L122" s="158" t="s">
        <v>481</v>
      </c>
      <c r="N122" s="71" t="s">
        <v>234</v>
      </c>
      <c r="O122" s="71" t="s">
        <v>419</v>
      </c>
      <c r="P122" s="108" t="s">
        <v>816</v>
      </c>
      <c r="Q122" s="108" t="s">
        <v>464</v>
      </c>
      <c r="R122" s="108"/>
      <c r="S122" s="108"/>
      <c r="T122" s="108"/>
      <c r="U122" s="108"/>
      <c r="V122" s="71" t="s">
        <v>236</v>
      </c>
      <c r="W122" s="71" t="s">
        <v>237</v>
      </c>
      <c r="X122" s="71" t="s">
        <v>257</v>
      </c>
      <c r="Y122" s="71" t="s">
        <v>829</v>
      </c>
      <c r="Z122" s="71" t="s">
        <v>239</v>
      </c>
      <c r="AA122" s="64">
        <v>1024</v>
      </c>
      <c r="AB122" s="155" t="s">
        <v>258</v>
      </c>
      <c r="AC122" s="71" t="s">
        <v>934</v>
      </c>
      <c r="AD122" s="71" t="s">
        <v>239</v>
      </c>
      <c r="AE122" s="71" t="s">
        <v>482</v>
      </c>
      <c r="AF122" s="71" t="s">
        <v>239</v>
      </c>
      <c r="AG122" s="71" t="s">
        <v>240</v>
      </c>
      <c r="AH122" s="71" t="s">
        <v>237</v>
      </c>
      <c r="AJ122" s="71" t="s">
        <v>483</v>
      </c>
      <c r="AK122" s="71" t="s">
        <v>239</v>
      </c>
      <c r="AL122" s="64">
        <v>1500</v>
      </c>
      <c r="AM122" s="71" t="s">
        <v>259</v>
      </c>
      <c r="AN122" s="71" t="s">
        <v>260</v>
      </c>
      <c r="AO122" s="71"/>
      <c r="AP122" s="71"/>
      <c r="AQ122" s="71"/>
      <c r="AR122" s="73" t="s">
        <v>261</v>
      </c>
      <c r="AS122" s="71"/>
      <c r="AT122" s="71"/>
      <c r="AU122" s="71"/>
      <c r="AV122" s="71"/>
      <c r="AX122" s="71" t="s">
        <v>244</v>
      </c>
      <c r="AY122" s="71" t="s">
        <v>277</v>
      </c>
      <c r="AZ122" s="113" t="s">
        <v>492</v>
      </c>
      <c r="BB122" s="71" t="s">
        <v>459</v>
      </c>
      <c r="BC122" s="115">
        <v>8.5</v>
      </c>
      <c r="BD122" s="115"/>
      <c r="BE122" s="115"/>
      <c r="BF122" s="115">
        <v>8.9</v>
      </c>
      <c r="BI122" s="64">
        <v>3.6999999999999998E-2</v>
      </c>
      <c r="BJ122" s="64">
        <v>2</v>
      </c>
      <c r="BK122" s="73" t="str">
        <f t="shared" si="103"/>
        <v>Control_greater_than_case</v>
      </c>
      <c r="BP122" s="71" t="s">
        <v>240</v>
      </c>
      <c r="BR122" s="71" t="s">
        <v>262</v>
      </c>
      <c r="BT122" s="65">
        <v>50.46</v>
      </c>
      <c r="BU122" s="65"/>
      <c r="BV122" s="65">
        <v>50.91</v>
      </c>
      <c r="BW122" s="65"/>
      <c r="BX122" s="65">
        <v>36.92</v>
      </c>
      <c r="BY122" s="65">
        <v>0.61</v>
      </c>
      <c r="BZ122" s="65">
        <v>36.82</v>
      </c>
      <c r="CA122" s="65">
        <v>0.75</v>
      </c>
      <c r="CB122" s="65">
        <v>12.62</v>
      </c>
      <c r="CC122" s="65">
        <v>0.75</v>
      </c>
      <c r="CD122" s="65">
        <v>11.89</v>
      </c>
      <c r="CE122" s="65">
        <v>0.79</v>
      </c>
      <c r="CF122" s="71"/>
      <c r="CG122" s="71" t="s">
        <v>237</v>
      </c>
      <c r="CH122" s="71" t="s">
        <v>240</v>
      </c>
      <c r="CJ122" s="71" t="s">
        <v>239</v>
      </c>
      <c r="CK122" s="71" t="s">
        <v>485</v>
      </c>
      <c r="CL122" s="64">
        <v>45</v>
      </c>
      <c r="CM122" s="64">
        <v>40</v>
      </c>
      <c r="CN122" s="71" t="s">
        <v>249</v>
      </c>
      <c r="CO122" s="71" t="s">
        <v>249</v>
      </c>
      <c r="CP122" s="71" t="s">
        <v>249</v>
      </c>
      <c r="CQ122" s="71" t="s">
        <v>486</v>
      </c>
      <c r="CR122" s="71" t="s">
        <v>487</v>
      </c>
      <c r="CS122" s="64">
        <v>7.9</v>
      </c>
      <c r="CU122" s="64">
        <v>43.4</v>
      </c>
      <c r="CW122" s="64">
        <v>42.7</v>
      </c>
      <c r="CY122" s="116">
        <f t="shared" si="97"/>
        <v>43.070588235294117</v>
      </c>
      <c r="CZ122" s="80" t="str">
        <f t="shared" si="104"/>
        <v/>
      </c>
      <c r="DB122" s="117">
        <v>73</v>
      </c>
      <c r="DD122" s="117">
        <v>63</v>
      </c>
      <c r="DE122" s="80">
        <f t="shared" si="105"/>
        <v>68.294117647058826</v>
      </c>
      <c r="DG122" s="64">
        <f t="shared" si="106"/>
        <v>85</v>
      </c>
      <c r="DH122" s="71" t="s">
        <v>237</v>
      </c>
      <c r="DI122" s="64">
        <v>0</v>
      </c>
      <c r="DJ122" s="64">
        <v>100</v>
      </c>
      <c r="DK122" s="71" t="s">
        <v>239</v>
      </c>
      <c r="DL122" s="71" t="s">
        <v>488</v>
      </c>
      <c r="DM122" s="71" t="s">
        <v>489</v>
      </c>
      <c r="DN122" s="71" t="s">
        <v>489</v>
      </c>
      <c r="DO122" s="71" t="s">
        <v>239</v>
      </c>
      <c r="DP122" s="71"/>
      <c r="DQ122" s="71"/>
      <c r="DR122" s="71"/>
      <c r="DS122" s="115">
        <v>2</v>
      </c>
      <c r="DU122" s="115">
        <v>94.8</v>
      </c>
      <c r="DW122" s="115">
        <v>88</v>
      </c>
      <c r="DY122" s="115">
        <v>96</v>
      </c>
      <c r="EA122" s="115">
        <v>84.7</v>
      </c>
      <c r="EC122" s="115">
        <v>102.8</v>
      </c>
      <c r="EE122" s="115">
        <v>99.8</v>
      </c>
      <c r="EG122" s="115">
        <v>99.8</v>
      </c>
      <c r="EI122" s="115">
        <v>94.3</v>
      </c>
      <c r="EK122" s="115">
        <v>94.6</v>
      </c>
      <c r="EM122" s="115">
        <v>86.8</v>
      </c>
      <c r="HA122" s="115">
        <v>59.1</v>
      </c>
      <c r="HB122" s="115"/>
      <c r="HC122" s="115">
        <v>50.9</v>
      </c>
      <c r="HY122" s="115">
        <v>3.2</v>
      </c>
      <c r="HZ122" s="115"/>
      <c r="IA122" s="115">
        <v>7.5</v>
      </c>
      <c r="IB122" s="115"/>
      <c r="IC122" s="115">
        <v>3.1</v>
      </c>
      <c r="ID122" s="115"/>
      <c r="IE122" s="115">
        <v>6.7</v>
      </c>
      <c r="IF122" s="115"/>
      <c r="IG122" s="115">
        <v>7.7</v>
      </c>
      <c r="IH122" s="115"/>
      <c r="II122" s="115">
        <v>13</v>
      </c>
      <c r="IJ122" s="115"/>
      <c r="IK122" s="115">
        <v>14.1</v>
      </c>
      <c r="IL122" s="115"/>
      <c r="IM122" s="115">
        <v>26.4</v>
      </c>
      <c r="JE122" s="115">
        <v>7.7</v>
      </c>
      <c r="JF122" s="115"/>
      <c r="JG122" s="115">
        <v>16.3</v>
      </c>
      <c r="JH122" s="115"/>
      <c r="JI122" s="115">
        <v>5.8</v>
      </c>
      <c r="JJ122" s="115"/>
      <c r="JK122" s="115">
        <v>18</v>
      </c>
      <c r="JL122" s="115"/>
      <c r="JM122" s="115">
        <v>13.5</v>
      </c>
      <c r="JN122" s="115"/>
      <c r="JO122" s="115">
        <v>34.4</v>
      </c>
      <c r="JU122" s="71" t="s">
        <v>252</v>
      </c>
    </row>
    <row r="123" spans="1:281" s="97" customFormat="1" ht="20" customHeight="1" x14ac:dyDescent="0.2">
      <c r="A123" s="95"/>
      <c r="L123" s="148"/>
      <c r="P123" s="99"/>
      <c r="Q123" s="99"/>
      <c r="R123" s="99"/>
      <c r="S123" s="99"/>
      <c r="T123" s="99"/>
      <c r="U123" s="99"/>
    </row>
    <row r="124" spans="1:281" s="85" customFormat="1" ht="20" customHeight="1" x14ac:dyDescent="0.2">
      <c r="A124" s="83">
        <v>62</v>
      </c>
      <c r="B124" s="84" t="s">
        <v>645</v>
      </c>
      <c r="C124" s="84" t="s">
        <v>493</v>
      </c>
      <c r="D124" s="84" t="s">
        <v>231</v>
      </c>
      <c r="E124" s="85">
        <v>26</v>
      </c>
      <c r="F124" s="85" t="s">
        <v>239</v>
      </c>
      <c r="G124" s="84" t="s">
        <v>237</v>
      </c>
      <c r="H124" s="84">
        <v>15824254</v>
      </c>
      <c r="I124" s="84"/>
      <c r="J124" s="84" t="s">
        <v>494</v>
      </c>
      <c r="K124" s="85">
        <v>2005</v>
      </c>
      <c r="L124" s="119" t="s">
        <v>495</v>
      </c>
      <c r="N124" s="84" t="s">
        <v>234</v>
      </c>
      <c r="O124" s="84" t="s">
        <v>496</v>
      </c>
      <c r="P124" s="87" t="s">
        <v>820</v>
      </c>
      <c r="Q124" s="87" t="s">
        <v>1006</v>
      </c>
      <c r="R124" s="87"/>
      <c r="S124" s="87"/>
      <c r="T124" s="87"/>
      <c r="U124" s="87"/>
      <c r="V124" s="84" t="s">
        <v>312</v>
      </c>
      <c r="W124" s="84" t="s">
        <v>237</v>
      </c>
      <c r="X124" s="84" t="s">
        <v>284</v>
      </c>
      <c r="Y124" s="84" t="s">
        <v>828</v>
      </c>
      <c r="Z124" s="84" t="s">
        <v>239</v>
      </c>
      <c r="AA124" s="85">
        <v>2048</v>
      </c>
      <c r="AB124" s="84" t="s">
        <v>237</v>
      </c>
      <c r="AC124" s="84" t="s">
        <v>898</v>
      </c>
      <c r="AD124" s="84" t="s">
        <v>237</v>
      </c>
      <c r="AF124" s="84" t="s">
        <v>239</v>
      </c>
      <c r="AG124" s="84" t="s">
        <v>240</v>
      </c>
      <c r="AH124" s="84" t="s">
        <v>239</v>
      </c>
      <c r="AI124" s="85">
        <v>30</v>
      </c>
      <c r="AK124" s="84" t="s">
        <v>239</v>
      </c>
      <c r="AL124" s="85">
        <v>3000</v>
      </c>
      <c r="AM124" s="84" t="s">
        <v>241</v>
      </c>
      <c r="AN124" s="84" t="s">
        <v>314</v>
      </c>
      <c r="AO124" s="84">
        <v>2.2999999999999998</v>
      </c>
      <c r="AP124" s="84" t="s">
        <v>893</v>
      </c>
      <c r="AQ124" s="84"/>
      <c r="AS124" s="84"/>
      <c r="AT124" s="84"/>
      <c r="AU124" s="84"/>
      <c r="AV124" s="84"/>
      <c r="AX124" s="84" t="s">
        <v>244</v>
      </c>
      <c r="AY124" s="84" t="s">
        <v>245</v>
      </c>
      <c r="BB124" s="84" t="s">
        <v>459</v>
      </c>
      <c r="BC124" s="88">
        <v>9.89</v>
      </c>
      <c r="BD124" s="88"/>
      <c r="BE124" s="88"/>
      <c r="BF124" s="88">
        <v>11.49</v>
      </c>
      <c r="BI124" s="141">
        <v>5.0000000000000001E-3</v>
      </c>
      <c r="BJ124" s="85">
        <v>2</v>
      </c>
      <c r="BK124" s="89" t="str">
        <f t="shared" ref="BK124:BK125" si="107">IF(AND(BC124&lt;&gt;"",BF124&lt;&gt;""),IF(BC124&gt;BF124,"Case_greater_than_control","Control_greater_than_case"),"")</f>
        <v>Control_greater_than_case</v>
      </c>
      <c r="BP124" s="84" t="s">
        <v>240</v>
      </c>
      <c r="BR124" s="84" t="s">
        <v>293</v>
      </c>
      <c r="CG124" s="84" t="s">
        <v>237</v>
      </c>
      <c r="CH124" s="84" t="s">
        <v>240</v>
      </c>
      <c r="CJ124" s="84" t="s">
        <v>239</v>
      </c>
      <c r="CK124" s="84" t="s">
        <v>248</v>
      </c>
      <c r="CL124" s="85">
        <v>24</v>
      </c>
      <c r="CM124" s="85">
        <v>39</v>
      </c>
      <c r="CN124" s="84" t="s">
        <v>292</v>
      </c>
      <c r="CO124" s="84" t="s">
        <v>292</v>
      </c>
      <c r="CP124" s="84" t="s">
        <v>292</v>
      </c>
      <c r="CQ124" s="89" t="s">
        <v>497</v>
      </c>
      <c r="CS124" s="88">
        <v>3.31</v>
      </c>
      <c r="CU124" s="105">
        <f>SUM((22+(2*46)+65)/4)</f>
        <v>44.75</v>
      </c>
      <c r="CV124" s="88">
        <f>SQRT(((22-2*46+65)^2)/4 + (65-22)^2/12)</f>
        <v>12.662279942148386</v>
      </c>
      <c r="CW124" s="105">
        <f>SUM((23+(2*36)+67)/4)</f>
        <v>40.5</v>
      </c>
      <c r="CX124" s="105">
        <f>SQRT(((23-2*36+67)^2)/4 + (67-23)^2/12)</f>
        <v>15.56705923844749</v>
      </c>
      <c r="CY124" s="104">
        <f>IF(OR(CU124="",CW124="",CL124="",CM124="",CL124+CM124=0),"",(CU124*CL124+CW124*CM124)/(CL124+CM124))</f>
        <v>42.11904761904762</v>
      </c>
      <c r="CZ124" s="104">
        <f>IF(OR(CY124="",CV124="",CX124=""),"",SQRT(((CL124-1)*(CV124^2) + (CM124-1)*(CX124^2) + CL124*(CU124-CY124)^2 + CM124*(CW124-CY124)^2) / (CL124+CM124-1)))</f>
        <v>14.57167517335982</v>
      </c>
      <c r="DB124" s="105">
        <v>44</v>
      </c>
      <c r="DD124" s="105">
        <v>50</v>
      </c>
      <c r="DE124" s="93">
        <f t="shared" ref="DE124:DE125" si="108">IF(AND(DA124&lt;&gt;"",DC124&lt;&gt;""),(DA124+DC124)/(CL124+CM124)*100,
   IF(AND(DB124&lt;&gt;"",DD124&lt;&gt;""),(DB124*CL124 + DD124*CM124)/(CL124+CM124),
   ""))</f>
        <v>47.714285714285715</v>
      </c>
      <c r="DG124" s="85">
        <f t="shared" ref="DG124:DG125" si="109">SUM(CL124,CM124)</f>
        <v>63</v>
      </c>
      <c r="DH124" s="84" t="s">
        <v>240</v>
      </c>
      <c r="DO124" s="84" t="s">
        <v>239</v>
      </c>
      <c r="DP124" s="84">
        <v>4.5</v>
      </c>
      <c r="DQ124" s="84">
        <v>3</v>
      </c>
      <c r="DR124" s="84">
        <v>7</v>
      </c>
      <c r="DS124" s="103">
        <f t="shared" ref="DS124:DS128" si="110">(DQ124 + 2*DP124+DR124)/4</f>
        <v>4.75</v>
      </c>
      <c r="DT124" s="103">
        <f t="shared" ref="DT124:DT128" si="111">SQRT(((DQ124-2*DP124+DR124)^2)/4 + (DR124-DQ124)^2/12)</f>
        <v>1.2583057392117916</v>
      </c>
      <c r="HQ124" s="105">
        <v>0</v>
      </c>
      <c r="HR124" s="88"/>
      <c r="HS124" s="88">
        <v>-0.36</v>
      </c>
      <c r="JU124" s="84" t="s">
        <v>252</v>
      </c>
    </row>
    <row r="125" spans="1:281" s="64" customFormat="1" ht="20" customHeight="1" x14ac:dyDescent="0.2">
      <c r="A125" s="106">
        <v>62</v>
      </c>
      <c r="B125" s="71" t="s">
        <v>646</v>
      </c>
      <c r="C125" s="71" t="s">
        <v>493</v>
      </c>
      <c r="D125" s="71" t="s">
        <v>231</v>
      </c>
      <c r="E125" s="64">
        <v>26</v>
      </c>
      <c r="F125" s="64" t="s">
        <v>239</v>
      </c>
      <c r="G125" s="71" t="s">
        <v>237</v>
      </c>
      <c r="H125" s="71">
        <v>15824254</v>
      </c>
      <c r="I125" s="71"/>
      <c r="J125" s="71" t="s">
        <v>494</v>
      </c>
      <c r="K125" s="64">
        <v>2005</v>
      </c>
      <c r="L125" s="124" t="s">
        <v>495</v>
      </c>
      <c r="N125" s="71" t="s">
        <v>234</v>
      </c>
      <c r="O125" s="71" t="s">
        <v>235</v>
      </c>
      <c r="P125" s="108" t="s">
        <v>235</v>
      </c>
      <c r="Q125" s="108"/>
      <c r="R125" s="108"/>
      <c r="S125" s="108"/>
      <c r="T125" s="108"/>
      <c r="U125" s="108"/>
      <c r="V125" s="71" t="s">
        <v>312</v>
      </c>
      <c r="W125" s="71" t="s">
        <v>237</v>
      </c>
      <c r="X125" s="71" t="s">
        <v>284</v>
      </c>
      <c r="Y125" s="71" t="s">
        <v>828</v>
      </c>
      <c r="Z125" s="71" t="s">
        <v>239</v>
      </c>
      <c r="AA125" s="64">
        <v>2048</v>
      </c>
      <c r="AB125" s="71" t="s">
        <v>237</v>
      </c>
      <c r="AC125" s="71" t="s">
        <v>898</v>
      </c>
      <c r="AD125" s="71" t="s">
        <v>237</v>
      </c>
      <c r="AF125" s="71" t="s">
        <v>239</v>
      </c>
      <c r="AG125" s="71" t="s">
        <v>240</v>
      </c>
      <c r="AH125" s="71" t="s">
        <v>239</v>
      </c>
      <c r="AI125" s="64">
        <v>30</v>
      </c>
      <c r="AK125" s="71" t="s">
        <v>239</v>
      </c>
      <c r="AL125" s="64">
        <v>3000</v>
      </c>
      <c r="AM125" s="71" t="s">
        <v>241</v>
      </c>
      <c r="AN125" s="71" t="s">
        <v>314</v>
      </c>
      <c r="AO125" s="71">
        <v>2.2999999999999998</v>
      </c>
      <c r="AP125" s="71" t="s">
        <v>893</v>
      </c>
      <c r="AQ125" s="71"/>
      <c r="AS125" s="71"/>
      <c r="AT125" s="71"/>
      <c r="AU125" s="71"/>
      <c r="AV125" s="71"/>
      <c r="AX125" s="71" t="s">
        <v>244</v>
      </c>
      <c r="AY125" s="71" t="s">
        <v>245</v>
      </c>
      <c r="BB125" s="71" t="s">
        <v>459</v>
      </c>
      <c r="BC125" s="65">
        <v>7.29</v>
      </c>
      <c r="BD125" s="65"/>
      <c r="BE125" s="65"/>
      <c r="BF125" s="65">
        <v>7.15</v>
      </c>
      <c r="BI125" s="65">
        <v>0.48</v>
      </c>
      <c r="BJ125" s="64">
        <v>2</v>
      </c>
      <c r="BK125" s="73" t="str">
        <f t="shared" si="107"/>
        <v>Case_greater_than_control</v>
      </c>
      <c r="BP125" s="71" t="s">
        <v>240</v>
      </c>
      <c r="BR125" s="71" t="s">
        <v>247</v>
      </c>
      <c r="BS125" s="71" t="s">
        <v>235</v>
      </c>
      <c r="CG125" s="71" t="s">
        <v>237</v>
      </c>
      <c r="CH125" s="71" t="s">
        <v>240</v>
      </c>
      <c r="CJ125" s="71" t="s">
        <v>239</v>
      </c>
      <c r="CK125" s="71" t="s">
        <v>248</v>
      </c>
      <c r="CL125" s="64">
        <v>24</v>
      </c>
      <c r="CM125" s="64">
        <v>39</v>
      </c>
      <c r="CN125" s="71" t="s">
        <v>292</v>
      </c>
      <c r="CO125" s="71" t="s">
        <v>292</v>
      </c>
      <c r="CP125" s="71" t="s">
        <v>292</v>
      </c>
      <c r="CQ125" s="73" t="s">
        <v>497</v>
      </c>
      <c r="CS125" s="65">
        <v>3.31</v>
      </c>
      <c r="CU125" s="117">
        <f>SUM((22+(2*46)+65)/4)</f>
        <v>44.75</v>
      </c>
      <c r="CV125" s="65">
        <f>SQRT(((22-2*46+65)^2)/4 + (65-22)^2/12)</f>
        <v>12.662279942148386</v>
      </c>
      <c r="CW125" s="117">
        <f>SUM((23+(2*36)+67)/4)</f>
        <v>40.5</v>
      </c>
      <c r="CX125" s="117">
        <f>SQRT(((23-2*36+67)^2)/4 + (67-23)^2/12)</f>
        <v>15.56705923844749</v>
      </c>
      <c r="CY125" s="116">
        <f>IF(OR(CU125="",CW125="",CL125="",CM125="",CL125+CM125=0),"",(CU125*CL125+CW125*CM125)/(CL125+CM125))</f>
        <v>42.11904761904762</v>
      </c>
      <c r="CZ125" s="116">
        <f>IF(OR(CY125="",CV125="",CX125=""),"",SQRT(((CL125-1)*(CV125^2) + (CM125-1)*(CX125^2) + CL125*(CU125-CY125)^2 + CM125*(CW125-CY125)^2) / (CL125+CM125-1)))</f>
        <v>14.57167517335982</v>
      </c>
      <c r="DB125" s="117">
        <v>44</v>
      </c>
      <c r="DD125" s="117">
        <v>50</v>
      </c>
      <c r="DE125" s="80">
        <f t="shared" si="108"/>
        <v>47.714285714285715</v>
      </c>
      <c r="DG125" s="64">
        <f t="shared" si="109"/>
        <v>63</v>
      </c>
      <c r="DH125" s="71" t="s">
        <v>240</v>
      </c>
      <c r="DO125" s="71" t="s">
        <v>239</v>
      </c>
      <c r="DP125" s="71">
        <v>4.5</v>
      </c>
      <c r="DQ125" s="71">
        <v>3</v>
      </c>
      <c r="DR125" s="71">
        <v>7</v>
      </c>
      <c r="DS125" s="115">
        <f t="shared" si="110"/>
        <v>4.75</v>
      </c>
      <c r="DT125" s="115">
        <f t="shared" si="111"/>
        <v>1.2583057392117916</v>
      </c>
      <c r="HQ125" s="117">
        <v>0</v>
      </c>
      <c r="HR125" s="65"/>
      <c r="HS125" s="65">
        <v>-0.36</v>
      </c>
      <c r="JU125" s="71" t="s">
        <v>252</v>
      </c>
    </row>
    <row r="126" spans="1:281" s="97" customFormat="1" ht="20" customHeight="1" x14ac:dyDescent="0.2">
      <c r="A126" s="95"/>
      <c r="L126" s="148"/>
      <c r="P126" s="99"/>
      <c r="Q126" s="99"/>
      <c r="R126" s="99"/>
      <c r="S126" s="99"/>
      <c r="T126" s="99"/>
      <c r="U126" s="99"/>
    </row>
    <row r="127" spans="1:281" s="85" customFormat="1" ht="21" customHeight="1" x14ac:dyDescent="0.2">
      <c r="A127" s="83">
        <v>54</v>
      </c>
      <c r="B127" s="84" t="s">
        <v>750</v>
      </c>
      <c r="C127" s="84" t="s">
        <v>498</v>
      </c>
      <c r="D127" s="84" t="s">
        <v>231</v>
      </c>
      <c r="E127" s="85">
        <v>27</v>
      </c>
      <c r="F127" s="85" t="s">
        <v>239</v>
      </c>
      <c r="G127" s="84" t="s">
        <v>237</v>
      </c>
      <c r="H127" s="84">
        <v>30094165</v>
      </c>
      <c r="I127" s="84" t="s">
        <v>980</v>
      </c>
      <c r="J127" s="84" t="s">
        <v>499</v>
      </c>
      <c r="K127" s="85">
        <v>2018</v>
      </c>
      <c r="L127" s="119" t="s">
        <v>500</v>
      </c>
      <c r="N127" s="84" t="s">
        <v>234</v>
      </c>
      <c r="O127" s="84" t="s">
        <v>247</v>
      </c>
      <c r="P127" s="87" t="s">
        <v>821</v>
      </c>
      <c r="Q127" s="87"/>
      <c r="R127" s="87"/>
      <c r="S127" s="87"/>
      <c r="T127" s="87"/>
      <c r="U127" s="87"/>
      <c r="V127" s="84" t="s">
        <v>236</v>
      </c>
      <c r="W127" s="84" t="s">
        <v>237</v>
      </c>
      <c r="X127" s="84" t="s">
        <v>501</v>
      </c>
      <c r="Y127" s="84" t="s">
        <v>830</v>
      </c>
      <c r="Z127" s="84" t="s">
        <v>237</v>
      </c>
      <c r="AB127" s="84" t="s">
        <v>237</v>
      </c>
      <c r="AC127" s="84" t="s">
        <v>906</v>
      </c>
      <c r="AD127" s="84" t="s">
        <v>239</v>
      </c>
      <c r="AE127" s="84" t="s">
        <v>875</v>
      </c>
      <c r="AF127" s="84" t="s">
        <v>239</v>
      </c>
      <c r="AG127" s="84" t="s">
        <v>240</v>
      </c>
      <c r="AH127" s="84" t="s">
        <v>239</v>
      </c>
      <c r="AI127" s="85">
        <v>30</v>
      </c>
      <c r="AK127" s="84" t="s">
        <v>239</v>
      </c>
      <c r="AL127" s="85">
        <v>4000</v>
      </c>
      <c r="AM127" s="84" t="s">
        <v>241</v>
      </c>
      <c r="AN127" s="84" t="s">
        <v>907</v>
      </c>
      <c r="AO127" s="84"/>
      <c r="AP127" s="84"/>
      <c r="AQ127" s="84" t="s">
        <v>908</v>
      </c>
      <c r="AS127" s="84"/>
      <c r="AT127" s="84"/>
      <c r="AU127" s="84"/>
      <c r="AV127" s="84"/>
      <c r="AW127" s="84">
        <v>15</v>
      </c>
      <c r="AX127" s="84" t="s">
        <v>244</v>
      </c>
      <c r="AY127" s="84" t="s">
        <v>277</v>
      </c>
      <c r="AZ127" s="84" t="s">
        <v>370</v>
      </c>
      <c r="BB127" s="84" t="s">
        <v>246</v>
      </c>
      <c r="BC127" s="88">
        <v>1.18</v>
      </c>
      <c r="BD127" s="88">
        <v>0.1</v>
      </c>
      <c r="BE127" s="88"/>
      <c r="BF127" s="88">
        <v>1.21</v>
      </c>
      <c r="BG127" s="88">
        <v>0.06</v>
      </c>
      <c r="BH127" s="88"/>
      <c r="BI127" s="141">
        <v>0.13400000000000001</v>
      </c>
      <c r="BJ127" s="85">
        <v>2</v>
      </c>
      <c r="BK127" s="89" t="str">
        <f t="shared" ref="BK127:BK128" si="112">IF(AND(BC127&lt;&gt;"",BF127&lt;&gt;""),IF(BC127&gt;BF127,"Case_greater_than_control","Control_greater_than_case"),"")</f>
        <v>Control_greater_than_case</v>
      </c>
      <c r="BP127" s="84" t="s">
        <v>240</v>
      </c>
      <c r="BR127" s="84" t="s">
        <v>247</v>
      </c>
      <c r="BS127" s="84"/>
      <c r="CG127" s="84" t="s">
        <v>237</v>
      </c>
      <c r="CH127" s="84" t="s">
        <v>240</v>
      </c>
      <c r="CJ127" s="84" t="s">
        <v>239</v>
      </c>
      <c r="CK127" s="84" t="s">
        <v>248</v>
      </c>
      <c r="CL127" s="85">
        <v>100</v>
      </c>
      <c r="CM127" s="85">
        <v>25</v>
      </c>
      <c r="CN127" s="84" t="s">
        <v>502</v>
      </c>
      <c r="CO127" s="120" t="s">
        <v>825</v>
      </c>
      <c r="CP127" s="120"/>
      <c r="CQ127" s="89" t="s">
        <v>503</v>
      </c>
      <c r="CS127" s="104">
        <v>9.5</v>
      </c>
      <c r="CT127" s="104">
        <v>9.1</v>
      </c>
      <c r="CU127" s="104">
        <v>42</v>
      </c>
      <c r="CV127" s="104">
        <v>10.4</v>
      </c>
      <c r="CW127" s="104">
        <v>40.299999999999997</v>
      </c>
      <c r="CX127" s="104">
        <v>11.7</v>
      </c>
      <c r="CY127" s="104">
        <f t="shared" si="97"/>
        <v>41.66</v>
      </c>
      <c r="CZ127" s="104">
        <f t="shared" ref="CZ127:CZ128" si="113">IF(OR(CY127="",CV127="",CX127=""),"",SQRT(((CL127-1)*(CV127^2) + (CM127-1)*(CX127^2) + CL127*(CU127-CY127)^2 + CM127*(CW127-CY127)^2) / (CL127+CM127-1)))</f>
        <v>10.644929127478127</v>
      </c>
      <c r="DA127" s="84">
        <v>72</v>
      </c>
      <c r="DB127" s="103">
        <f t="shared" si="89"/>
        <v>72</v>
      </c>
      <c r="DC127" s="85">
        <v>13</v>
      </c>
      <c r="DD127" s="105">
        <f t="shared" ref="DD127:DD128" si="114">IF(DC127="","",(DC127/CM127)*100)</f>
        <v>52</v>
      </c>
      <c r="DE127" s="93">
        <f t="shared" ref="DE127:DE128" si="115">IF(AND(DA127&lt;&gt;"",DC127&lt;&gt;""),(DA127+DC127)/(CL127+CM127)*100,
   IF(AND(DB127&lt;&gt;"",DD127&lt;&gt;""),(DB127*CL127 + DD127*CM127)/(CL127+CM127),
   ""))</f>
        <v>68</v>
      </c>
      <c r="DG127" s="85">
        <f t="shared" ref="DG127:DG128" si="116">SUM(CL127,CM127)</f>
        <v>125</v>
      </c>
      <c r="DH127" s="84" t="s">
        <v>237</v>
      </c>
      <c r="DI127" s="85">
        <v>72.5</v>
      </c>
      <c r="DJ127" s="85">
        <v>27.5</v>
      </c>
      <c r="DK127" s="84" t="s">
        <v>239</v>
      </c>
      <c r="DO127" s="84" t="s">
        <v>239</v>
      </c>
      <c r="DP127" s="104">
        <v>2</v>
      </c>
      <c r="DQ127" s="147">
        <v>0</v>
      </c>
      <c r="DR127" s="104">
        <v>6.5</v>
      </c>
      <c r="DS127" s="103">
        <f t="shared" si="110"/>
        <v>2.625</v>
      </c>
      <c r="DT127" s="103">
        <f t="shared" si="111"/>
        <v>2.2546248764114472</v>
      </c>
      <c r="JU127" s="84" t="s">
        <v>252</v>
      </c>
    </row>
    <row r="128" spans="1:281" s="64" customFormat="1" ht="20" customHeight="1" x14ac:dyDescent="0.2">
      <c r="A128" s="106">
        <v>54</v>
      </c>
      <c r="B128" s="71" t="s">
        <v>751</v>
      </c>
      <c r="C128" s="71" t="s">
        <v>498</v>
      </c>
      <c r="D128" s="71" t="s">
        <v>231</v>
      </c>
      <c r="E128" s="64">
        <v>27</v>
      </c>
      <c r="F128" s="64" t="s">
        <v>239</v>
      </c>
      <c r="G128" s="71" t="s">
        <v>237</v>
      </c>
      <c r="H128" s="71">
        <v>30094165</v>
      </c>
      <c r="I128" s="71" t="s">
        <v>980</v>
      </c>
      <c r="J128" s="71" t="s">
        <v>499</v>
      </c>
      <c r="K128" s="64">
        <v>2018</v>
      </c>
      <c r="L128" s="124" t="s">
        <v>500</v>
      </c>
      <c r="N128" s="71" t="s">
        <v>234</v>
      </c>
      <c r="O128" s="71" t="s">
        <v>293</v>
      </c>
      <c r="P128" s="108" t="s">
        <v>820</v>
      </c>
      <c r="Q128" s="108" t="s">
        <v>1006</v>
      </c>
      <c r="R128" s="108"/>
      <c r="S128" s="108"/>
      <c r="T128" s="108"/>
      <c r="U128" s="108"/>
      <c r="V128" s="71" t="s">
        <v>236</v>
      </c>
      <c r="W128" s="71" t="s">
        <v>237</v>
      </c>
      <c r="X128" s="71" t="s">
        <v>501</v>
      </c>
      <c r="Y128" s="71" t="s">
        <v>830</v>
      </c>
      <c r="Z128" s="71" t="s">
        <v>237</v>
      </c>
      <c r="AB128" s="71" t="s">
        <v>237</v>
      </c>
      <c r="AC128" s="71" t="s">
        <v>906</v>
      </c>
      <c r="AD128" s="71" t="s">
        <v>239</v>
      </c>
      <c r="AE128" s="71" t="s">
        <v>875</v>
      </c>
      <c r="AF128" s="71" t="s">
        <v>239</v>
      </c>
      <c r="AG128" s="71" t="s">
        <v>240</v>
      </c>
      <c r="AH128" s="71" t="s">
        <v>239</v>
      </c>
      <c r="AI128" s="64">
        <v>30</v>
      </c>
      <c r="AK128" s="71" t="s">
        <v>239</v>
      </c>
      <c r="AL128" s="64">
        <v>4000</v>
      </c>
      <c r="AM128" s="71" t="s">
        <v>241</v>
      </c>
      <c r="AN128" s="71" t="s">
        <v>907</v>
      </c>
      <c r="AO128" s="71"/>
      <c r="AP128" s="71"/>
      <c r="AQ128" s="71" t="s">
        <v>908</v>
      </c>
      <c r="AS128" s="71"/>
      <c r="AT128" s="71"/>
      <c r="AU128" s="71"/>
      <c r="AV128" s="71"/>
      <c r="AW128" s="71">
        <v>15</v>
      </c>
      <c r="AX128" s="71" t="s">
        <v>244</v>
      </c>
      <c r="AY128" s="71" t="s">
        <v>277</v>
      </c>
      <c r="AZ128" s="71" t="s">
        <v>370</v>
      </c>
      <c r="BB128" s="71" t="s">
        <v>246</v>
      </c>
      <c r="BC128" s="65">
        <v>1.71</v>
      </c>
      <c r="BD128" s="65">
        <v>0.15</v>
      </c>
      <c r="BE128" s="65"/>
      <c r="BF128" s="65">
        <v>1.73</v>
      </c>
      <c r="BG128" s="65">
        <v>0.08</v>
      </c>
      <c r="BH128" s="65"/>
      <c r="BI128" s="114">
        <v>0.45500000000000002</v>
      </c>
      <c r="BJ128" s="64">
        <v>2</v>
      </c>
      <c r="BK128" s="73" t="str">
        <f t="shared" si="112"/>
        <v>Control_greater_than_case</v>
      </c>
      <c r="BP128" s="71" t="s">
        <v>240</v>
      </c>
      <c r="BR128" s="71" t="s">
        <v>293</v>
      </c>
      <c r="CG128" s="71" t="s">
        <v>237</v>
      </c>
      <c r="CH128" s="71" t="s">
        <v>240</v>
      </c>
      <c r="CJ128" s="71" t="s">
        <v>239</v>
      </c>
      <c r="CK128" s="71" t="s">
        <v>248</v>
      </c>
      <c r="CL128" s="64">
        <v>102</v>
      </c>
      <c r="CM128" s="64">
        <v>25</v>
      </c>
      <c r="CN128" s="71" t="s">
        <v>502</v>
      </c>
      <c r="CO128" s="113" t="s">
        <v>825</v>
      </c>
      <c r="CP128" s="113"/>
      <c r="CQ128" s="73" t="s">
        <v>503</v>
      </c>
      <c r="CS128" s="116">
        <v>9.5</v>
      </c>
      <c r="CT128" s="116">
        <v>9.1</v>
      </c>
      <c r="CU128" s="116">
        <v>42</v>
      </c>
      <c r="CV128" s="116">
        <v>10.4</v>
      </c>
      <c r="CW128" s="116">
        <v>40.299999999999997</v>
      </c>
      <c r="CX128" s="116">
        <v>11.7</v>
      </c>
      <c r="CY128" s="116">
        <f t="shared" si="97"/>
        <v>41.665354330708659</v>
      </c>
      <c r="CZ128" s="116">
        <f t="shared" si="113"/>
        <v>10.641170256928765</v>
      </c>
      <c r="DA128" s="71">
        <v>72</v>
      </c>
      <c r="DB128" s="115">
        <f t="shared" si="89"/>
        <v>70.588235294117652</v>
      </c>
      <c r="DC128" s="64">
        <v>13</v>
      </c>
      <c r="DD128" s="117">
        <f t="shared" si="114"/>
        <v>52</v>
      </c>
      <c r="DE128" s="80">
        <f t="shared" si="115"/>
        <v>66.929133858267718</v>
      </c>
      <c r="DG128" s="64">
        <f t="shared" si="116"/>
        <v>127</v>
      </c>
      <c r="DH128" s="71" t="s">
        <v>237</v>
      </c>
      <c r="DI128" s="64">
        <v>72.5</v>
      </c>
      <c r="DJ128" s="64">
        <v>27.5</v>
      </c>
      <c r="DK128" s="71" t="s">
        <v>239</v>
      </c>
      <c r="DO128" s="71" t="s">
        <v>239</v>
      </c>
      <c r="DP128" s="116">
        <v>2</v>
      </c>
      <c r="DQ128" s="149">
        <v>0</v>
      </c>
      <c r="DR128" s="116">
        <v>6.5</v>
      </c>
      <c r="DS128" s="115">
        <f t="shared" si="110"/>
        <v>2.625</v>
      </c>
      <c r="DT128" s="115">
        <f t="shared" si="111"/>
        <v>2.2546248764114472</v>
      </c>
      <c r="JU128" s="71" t="s">
        <v>252</v>
      </c>
    </row>
    <row r="129" spans="1:281" s="97" customFormat="1" ht="20" customHeight="1" x14ac:dyDescent="0.2">
      <c r="A129" s="95"/>
      <c r="L129" s="148"/>
      <c r="P129" s="99"/>
      <c r="Q129" s="99"/>
      <c r="R129" s="99"/>
      <c r="S129" s="99"/>
      <c r="T129" s="99"/>
      <c r="U129" s="99"/>
    </row>
    <row r="130" spans="1:281" s="85" customFormat="1" ht="20" customHeight="1" x14ac:dyDescent="0.2">
      <c r="A130" s="83">
        <v>27</v>
      </c>
      <c r="B130" s="84" t="s">
        <v>752</v>
      </c>
      <c r="C130" s="84" t="s">
        <v>504</v>
      </c>
      <c r="D130" s="84" t="s">
        <v>231</v>
      </c>
      <c r="E130" s="85">
        <v>28</v>
      </c>
      <c r="F130" s="85" t="s">
        <v>239</v>
      </c>
      <c r="G130" s="84" t="s">
        <v>237</v>
      </c>
      <c r="H130" s="84">
        <v>15758036</v>
      </c>
      <c r="I130" s="84"/>
      <c r="J130" s="84" t="s">
        <v>505</v>
      </c>
      <c r="K130" s="85">
        <v>2005</v>
      </c>
      <c r="L130" s="119" t="s">
        <v>506</v>
      </c>
      <c r="N130" s="84" t="s">
        <v>234</v>
      </c>
      <c r="O130" s="84" t="s">
        <v>235</v>
      </c>
      <c r="P130" s="87" t="s">
        <v>235</v>
      </c>
      <c r="Q130" s="87"/>
      <c r="R130" s="87"/>
      <c r="S130" s="87"/>
      <c r="T130" s="87"/>
      <c r="U130" s="87"/>
      <c r="V130" s="84" t="s">
        <v>236</v>
      </c>
      <c r="W130" s="84" t="s">
        <v>237</v>
      </c>
      <c r="X130" s="84" t="s">
        <v>284</v>
      </c>
      <c r="Y130" s="84" t="s">
        <v>828</v>
      </c>
      <c r="Z130" s="84" t="s">
        <v>237</v>
      </c>
      <c r="AB130" s="84" t="s">
        <v>237</v>
      </c>
      <c r="AC130" s="84" t="s">
        <v>935</v>
      </c>
      <c r="AD130" s="84" t="s">
        <v>239</v>
      </c>
      <c r="AE130" s="84" t="s">
        <v>876</v>
      </c>
      <c r="AF130" s="84" t="s">
        <v>239</v>
      </c>
      <c r="AG130" s="84" t="s">
        <v>240</v>
      </c>
      <c r="AH130" s="84" t="s">
        <v>239</v>
      </c>
      <c r="AI130" s="85">
        <v>35</v>
      </c>
      <c r="AJ130" s="84" t="s">
        <v>507</v>
      </c>
      <c r="AK130" s="84" t="s">
        <v>239</v>
      </c>
      <c r="AL130" s="85">
        <v>2000</v>
      </c>
      <c r="AM130" s="84" t="s">
        <v>259</v>
      </c>
      <c r="AN130" s="85">
        <v>8000</v>
      </c>
      <c r="AO130" s="85">
        <v>8</v>
      </c>
      <c r="AP130" s="85" t="s">
        <v>939</v>
      </c>
      <c r="AR130" s="85">
        <v>256</v>
      </c>
      <c r="AS130" s="84"/>
      <c r="AT130" s="84"/>
      <c r="AU130" s="84"/>
      <c r="AV130" s="84"/>
      <c r="AW130" s="85">
        <v>20</v>
      </c>
      <c r="AX130" s="84" t="s">
        <v>253</v>
      </c>
      <c r="AY130" s="84" t="s">
        <v>245</v>
      </c>
      <c r="BB130" s="84" t="s">
        <v>246</v>
      </c>
      <c r="BC130" s="103">
        <v>8.1</v>
      </c>
      <c r="BD130" s="103">
        <v>1.6</v>
      </c>
      <c r="BE130" s="103"/>
      <c r="BF130" s="103">
        <v>6.9</v>
      </c>
      <c r="BG130" s="103">
        <v>0.8</v>
      </c>
      <c r="BH130" s="103"/>
      <c r="BI130" s="88">
        <v>0.03</v>
      </c>
      <c r="BJ130" s="85">
        <v>2</v>
      </c>
      <c r="BK130" s="89" t="str">
        <f t="shared" ref="BK130:BK135" si="117">IF(AND(BC130&lt;&gt;"",BF130&lt;&gt;""),IF(BC130&gt;BF130,"Case_greater_than_control","Control_greater_than_case"),"")</f>
        <v>Case_greater_than_control</v>
      </c>
      <c r="BP130" s="84" t="s">
        <v>240</v>
      </c>
      <c r="BR130" s="84" t="s">
        <v>247</v>
      </c>
      <c r="BS130" s="84" t="s">
        <v>235</v>
      </c>
      <c r="CG130" s="84" t="s">
        <v>415</v>
      </c>
      <c r="CH130" s="84" t="s">
        <v>240</v>
      </c>
      <c r="CJ130" s="84" t="s">
        <v>239</v>
      </c>
      <c r="CK130" s="84" t="s">
        <v>248</v>
      </c>
      <c r="CL130" s="85">
        <v>16</v>
      </c>
      <c r="CM130" s="85">
        <v>16</v>
      </c>
      <c r="CN130" s="84" t="s">
        <v>334</v>
      </c>
      <c r="CO130" s="120" t="s">
        <v>825</v>
      </c>
      <c r="CP130" s="120"/>
      <c r="CQ130" s="89" t="s">
        <v>508</v>
      </c>
      <c r="CS130" s="84">
        <v>8</v>
      </c>
      <c r="CT130" s="84">
        <v>7</v>
      </c>
      <c r="CU130" s="84">
        <v>42</v>
      </c>
      <c r="CV130" s="84">
        <v>12</v>
      </c>
      <c r="CW130" s="84">
        <v>38</v>
      </c>
      <c r="CX130" s="84">
        <v>12</v>
      </c>
      <c r="CY130" s="147">
        <f t="shared" si="97"/>
        <v>40</v>
      </c>
      <c r="CZ130" s="147">
        <f t="shared" ref="CZ130:CZ135" si="118">IF(OR(CY130="",CV130="",CX130=""),"",SQRT(((CL130-1)*(CV130^2) + (CM130-1)*(CX130^2) + CL130*(CU130-CY130)^2 + CM130*(CW130-CY130)^2) / (CL130+CM130-1)))</f>
        <v>11.978475318993729</v>
      </c>
      <c r="DA130" s="84">
        <v>12</v>
      </c>
      <c r="DB130" s="105">
        <f t="shared" si="89"/>
        <v>75</v>
      </c>
      <c r="DC130" s="85">
        <v>8</v>
      </c>
      <c r="DD130" s="105">
        <f t="shared" ref="DD130:DD135" si="119">IF(DC130="","",(DC130/CM130)*100)</f>
        <v>50</v>
      </c>
      <c r="DE130" s="93">
        <f t="shared" ref="DE130:DE135" si="120">IF(AND(DA130&lt;&gt;"",DC130&lt;&gt;""),(DA130+DC130)/(CL130+CM130)*100,
   IF(AND(DB130&lt;&gt;"",DD130&lt;&gt;""),(DB130*CL130 + DD130*CM130)/(CL130+CM130),
   ""))</f>
        <v>62.5</v>
      </c>
      <c r="DG130" s="85">
        <f t="shared" ref="DG130:DG135" si="121">SUM(CL130,CM130)</f>
        <v>32</v>
      </c>
      <c r="DH130" s="84" t="s">
        <v>237</v>
      </c>
      <c r="DI130" s="85">
        <f>100-DJ130</f>
        <v>28</v>
      </c>
      <c r="DJ130" s="85">
        <f>((16+1+1)/25)*100</f>
        <v>72</v>
      </c>
      <c r="DK130" s="84" t="s">
        <v>239</v>
      </c>
      <c r="DM130" s="84" t="s">
        <v>509</v>
      </c>
      <c r="DN130" s="84" t="s">
        <v>833</v>
      </c>
      <c r="DO130" s="84" t="s">
        <v>239</v>
      </c>
      <c r="DP130" s="84"/>
      <c r="DQ130" s="84"/>
      <c r="DR130" s="84"/>
      <c r="DS130" s="104">
        <v>3.5</v>
      </c>
      <c r="DT130" s="103">
        <v>2.1</v>
      </c>
      <c r="JU130" s="84" t="s">
        <v>252</v>
      </c>
    </row>
    <row r="131" spans="1:281" s="8" customFormat="1" ht="20" customHeight="1" x14ac:dyDescent="0.2">
      <c r="A131" s="35">
        <v>27</v>
      </c>
      <c r="B131" s="7" t="s">
        <v>753</v>
      </c>
      <c r="C131" s="7" t="s">
        <v>504</v>
      </c>
      <c r="D131" s="7" t="s">
        <v>231</v>
      </c>
      <c r="E131" s="8">
        <v>28</v>
      </c>
      <c r="F131" s="8" t="s">
        <v>239</v>
      </c>
      <c r="G131" s="7" t="s">
        <v>237</v>
      </c>
      <c r="H131" s="7">
        <v>15758036</v>
      </c>
      <c r="I131" s="7"/>
      <c r="J131" s="7" t="s">
        <v>505</v>
      </c>
      <c r="K131" s="8">
        <v>2005</v>
      </c>
      <c r="L131" s="12" t="s">
        <v>506</v>
      </c>
      <c r="N131" s="7" t="s">
        <v>234</v>
      </c>
      <c r="O131" s="7" t="s">
        <v>235</v>
      </c>
      <c r="P131" s="36" t="s">
        <v>235</v>
      </c>
      <c r="Q131" s="36"/>
      <c r="R131" s="36"/>
      <c r="S131" s="36"/>
      <c r="T131" s="36"/>
      <c r="U131" s="36"/>
      <c r="V131" s="7" t="s">
        <v>236</v>
      </c>
      <c r="W131" s="7" t="s">
        <v>237</v>
      </c>
      <c r="X131" s="7" t="s">
        <v>284</v>
      </c>
      <c r="Y131" s="7" t="s">
        <v>828</v>
      </c>
      <c r="Z131" s="7" t="s">
        <v>237</v>
      </c>
      <c r="AB131" s="7" t="s">
        <v>237</v>
      </c>
      <c r="AC131" s="7" t="s">
        <v>935</v>
      </c>
      <c r="AD131" s="7" t="s">
        <v>239</v>
      </c>
      <c r="AE131" s="7" t="s">
        <v>876</v>
      </c>
      <c r="AF131" s="7" t="s">
        <v>239</v>
      </c>
      <c r="AG131" s="7" t="s">
        <v>240</v>
      </c>
      <c r="AH131" s="7" t="s">
        <v>239</v>
      </c>
      <c r="AI131" s="8">
        <v>35</v>
      </c>
      <c r="AJ131" s="7" t="s">
        <v>507</v>
      </c>
      <c r="AK131" s="7" t="s">
        <v>239</v>
      </c>
      <c r="AL131" s="8">
        <v>2000</v>
      </c>
      <c r="AM131" s="7" t="s">
        <v>259</v>
      </c>
      <c r="AN131" s="8">
        <v>8000</v>
      </c>
      <c r="AO131" s="8">
        <v>8</v>
      </c>
      <c r="AP131" s="8" t="s">
        <v>939</v>
      </c>
      <c r="AR131" s="8">
        <v>256</v>
      </c>
      <c r="AS131" s="7"/>
      <c r="AT131" s="7"/>
      <c r="AU131" s="7"/>
      <c r="AV131" s="7"/>
      <c r="AW131" s="8">
        <v>30</v>
      </c>
      <c r="AX131" s="7" t="s">
        <v>391</v>
      </c>
      <c r="AY131" s="7" t="s">
        <v>245</v>
      </c>
      <c r="BB131" s="7" t="s">
        <v>246</v>
      </c>
      <c r="BC131" s="41">
        <v>6.1</v>
      </c>
      <c r="BD131" s="41">
        <v>1.2</v>
      </c>
      <c r="BE131" s="41"/>
      <c r="BF131" s="41">
        <v>5.5</v>
      </c>
      <c r="BG131" s="41">
        <v>2</v>
      </c>
      <c r="BH131" s="41"/>
      <c r="BI131" s="11">
        <v>0.52</v>
      </c>
      <c r="BJ131" s="8">
        <v>2</v>
      </c>
      <c r="BK131" s="5" t="str">
        <f t="shared" si="117"/>
        <v>Case_greater_than_control</v>
      </c>
      <c r="BP131" s="7" t="s">
        <v>240</v>
      </c>
      <c r="BR131" s="7" t="s">
        <v>247</v>
      </c>
      <c r="BS131" s="7" t="s">
        <v>235</v>
      </c>
      <c r="CG131" s="7" t="s">
        <v>415</v>
      </c>
      <c r="CH131" s="7" t="s">
        <v>240</v>
      </c>
      <c r="CJ131" s="7" t="s">
        <v>239</v>
      </c>
      <c r="CK131" s="7" t="s">
        <v>248</v>
      </c>
      <c r="CL131" s="8">
        <v>16</v>
      </c>
      <c r="CM131" s="8">
        <v>16</v>
      </c>
      <c r="CN131" s="7" t="s">
        <v>334</v>
      </c>
      <c r="CO131" s="44" t="s">
        <v>825</v>
      </c>
      <c r="CP131" s="44"/>
      <c r="CQ131" s="5" t="s">
        <v>508</v>
      </c>
      <c r="CS131" s="7">
        <v>8</v>
      </c>
      <c r="CT131" s="7">
        <v>7</v>
      </c>
      <c r="CU131" s="7">
        <v>42</v>
      </c>
      <c r="CV131" s="7">
        <v>12</v>
      </c>
      <c r="CW131" s="7">
        <v>38</v>
      </c>
      <c r="CX131" s="7">
        <v>12</v>
      </c>
      <c r="CY131" s="46">
        <f t="shared" si="97"/>
        <v>40</v>
      </c>
      <c r="CZ131" s="46">
        <f t="shared" si="118"/>
        <v>11.978475318993729</v>
      </c>
      <c r="DA131" s="7">
        <v>12</v>
      </c>
      <c r="DB131" s="43">
        <f t="shared" si="89"/>
        <v>75</v>
      </c>
      <c r="DC131" s="8">
        <v>8</v>
      </c>
      <c r="DD131" s="43">
        <f t="shared" si="119"/>
        <v>50</v>
      </c>
      <c r="DE131" s="28">
        <f t="shared" si="120"/>
        <v>62.5</v>
      </c>
      <c r="DG131" s="8">
        <f t="shared" si="121"/>
        <v>32</v>
      </c>
      <c r="DH131" s="7" t="s">
        <v>237</v>
      </c>
      <c r="DI131" s="8">
        <f t="shared" ref="DI131:DI135" si="122">100-DJ131</f>
        <v>28</v>
      </c>
      <c r="DJ131" s="8">
        <f t="shared" ref="DJ131:DJ135" si="123">((16+1+1)/25)*100</f>
        <v>72</v>
      </c>
      <c r="DK131" s="7" t="s">
        <v>239</v>
      </c>
      <c r="DM131" s="7" t="s">
        <v>509</v>
      </c>
      <c r="DN131" s="7" t="s">
        <v>833</v>
      </c>
      <c r="DO131" s="7" t="s">
        <v>239</v>
      </c>
      <c r="DP131" s="7"/>
      <c r="DQ131" s="7"/>
      <c r="DR131" s="7"/>
      <c r="DS131" s="42">
        <v>3.5</v>
      </c>
      <c r="DT131" s="41">
        <v>2.1</v>
      </c>
      <c r="JU131" s="7" t="s">
        <v>252</v>
      </c>
    </row>
    <row r="132" spans="1:281" s="8" customFormat="1" ht="20" customHeight="1" x14ac:dyDescent="0.2">
      <c r="A132" s="35">
        <v>27</v>
      </c>
      <c r="B132" s="7" t="s">
        <v>754</v>
      </c>
      <c r="C132" s="7" t="s">
        <v>504</v>
      </c>
      <c r="D132" s="7" t="s">
        <v>231</v>
      </c>
      <c r="E132" s="8">
        <v>28</v>
      </c>
      <c r="F132" s="8" t="s">
        <v>239</v>
      </c>
      <c r="G132" s="7" t="s">
        <v>237</v>
      </c>
      <c r="H132" s="7">
        <v>15758036</v>
      </c>
      <c r="I132" s="7"/>
      <c r="J132" s="7" t="s">
        <v>505</v>
      </c>
      <c r="K132" s="8">
        <v>2005</v>
      </c>
      <c r="L132" s="12" t="s">
        <v>506</v>
      </c>
      <c r="N132" s="7" t="s">
        <v>234</v>
      </c>
      <c r="O132" s="7" t="s">
        <v>510</v>
      </c>
      <c r="P132" s="36" t="s">
        <v>254</v>
      </c>
      <c r="Q132" s="36"/>
      <c r="R132" s="36"/>
      <c r="S132" s="36"/>
      <c r="T132" s="36"/>
      <c r="U132" s="36"/>
      <c r="V132" s="7" t="s">
        <v>236</v>
      </c>
      <c r="W132" s="7" t="s">
        <v>237</v>
      </c>
      <c r="X132" s="7" t="s">
        <v>284</v>
      </c>
      <c r="Y132" s="7" t="s">
        <v>828</v>
      </c>
      <c r="Z132" s="7" t="s">
        <v>237</v>
      </c>
      <c r="AB132" s="7" t="s">
        <v>237</v>
      </c>
      <c r="AC132" s="7" t="s">
        <v>935</v>
      </c>
      <c r="AD132" s="7" t="s">
        <v>239</v>
      </c>
      <c r="AE132" s="7" t="s">
        <v>876</v>
      </c>
      <c r="AF132" s="7" t="s">
        <v>239</v>
      </c>
      <c r="AG132" s="7" t="s">
        <v>240</v>
      </c>
      <c r="AH132" s="7" t="s">
        <v>239</v>
      </c>
      <c r="AI132" s="8">
        <v>35</v>
      </c>
      <c r="AJ132" s="7" t="s">
        <v>507</v>
      </c>
      <c r="AK132" s="7" t="s">
        <v>239</v>
      </c>
      <c r="AL132" s="8">
        <v>2000</v>
      </c>
      <c r="AM132" s="7" t="s">
        <v>259</v>
      </c>
      <c r="AN132" s="8">
        <v>8000</v>
      </c>
      <c r="AO132" s="8">
        <v>8</v>
      </c>
      <c r="AP132" s="8" t="s">
        <v>939</v>
      </c>
      <c r="AR132" s="8">
        <v>256</v>
      </c>
      <c r="AS132" s="7"/>
      <c r="AT132" s="7"/>
      <c r="AU132" s="7"/>
      <c r="AV132" s="7"/>
      <c r="AW132" s="8">
        <v>20</v>
      </c>
      <c r="AX132" s="7" t="s">
        <v>253</v>
      </c>
      <c r="AY132" s="7" t="s">
        <v>245</v>
      </c>
      <c r="BB132" s="7" t="s">
        <v>246</v>
      </c>
      <c r="BC132" s="41">
        <v>8</v>
      </c>
      <c r="BD132" s="41">
        <v>1</v>
      </c>
      <c r="BE132" s="41"/>
      <c r="BF132" s="41">
        <v>6.9</v>
      </c>
      <c r="BG132" s="41">
        <v>0.8</v>
      </c>
      <c r="BH132" s="41"/>
      <c r="BI132" s="11">
        <v>0.02</v>
      </c>
      <c r="BJ132" s="8">
        <v>2</v>
      </c>
      <c r="BK132" s="5" t="str">
        <f t="shared" si="117"/>
        <v>Case_greater_than_control</v>
      </c>
      <c r="BP132" s="7" t="s">
        <v>240</v>
      </c>
      <c r="BR132" s="7" t="s">
        <v>247</v>
      </c>
      <c r="BS132" s="7" t="s">
        <v>254</v>
      </c>
      <c r="CG132" s="7" t="s">
        <v>415</v>
      </c>
      <c r="CH132" s="7" t="s">
        <v>240</v>
      </c>
      <c r="CJ132" s="7" t="s">
        <v>239</v>
      </c>
      <c r="CK132" s="7" t="s">
        <v>248</v>
      </c>
      <c r="CL132" s="8">
        <v>17</v>
      </c>
      <c r="CM132" s="8">
        <v>16</v>
      </c>
      <c r="CN132" s="7" t="s">
        <v>334</v>
      </c>
      <c r="CO132" s="44" t="s">
        <v>825</v>
      </c>
      <c r="CP132" s="44"/>
      <c r="CQ132" s="5" t="s">
        <v>508</v>
      </c>
      <c r="CS132" s="7">
        <v>8</v>
      </c>
      <c r="CT132" s="7">
        <v>7</v>
      </c>
      <c r="CU132" s="7">
        <v>42</v>
      </c>
      <c r="CV132" s="7">
        <v>12</v>
      </c>
      <c r="CW132" s="7">
        <v>38</v>
      </c>
      <c r="CX132" s="7">
        <v>12</v>
      </c>
      <c r="CY132" s="46">
        <f t="shared" si="97"/>
        <v>40.060606060606062</v>
      </c>
      <c r="CZ132" s="46">
        <f t="shared" si="118"/>
        <v>11.98420677897424</v>
      </c>
      <c r="DA132" s="7">
        <v>12</v>
      </c>
      <c r="DB132" s="43">
        <f t="shared" si="89"/>
        <v>70.588235294117652</v>
      </c>
      <c r="DC132" s="8">
        <v>8</v>
      </c>
      <c r="DD132" s="43">
        <f t="shared" si="119"/>
        <v>50</v>
      </c>
      <c r="DE132" s="28">
        <f t="shared" si="120"/>
        <v>60.606060606060609</v>
      </c>
      <c r="DG132" s="8">
        <f t="shared" si="121"/>
        <v>33</v>
      </c>
      <c r="DH132" s="7" t="s">
        <v>237</v>
      </c>
      <c r="DI132" s="8">
        <f t="shared" si="122"/>
        <v>28</v>
      </c>
      <c r="DJ132" s="8">
        <f t="shared" si="123"/>
        <v>72</v>
      </c>
      <c r="DK132" s="7" t="s">
        <v>239</v>
      </c>
      <c r="DM132" s="7" t="s">
        <v>509</v>
      </c>
      <c r="DN132" s="7" t="s">
        <v>833</v>
      </c>
      <c r="DO132" s="7" t="s">
        <v>239</v>
      </c>
      <c r="DP132" s="7"/>
      <c r="DQ132" s="7"/>
      <c r="DR132" s="7"/>
      <c r="DS132" s="42">
        <v>3.5</v>
      </c>
      <c r="DT132" s="41">
        <v>2.1</v>
      </c>
      <c r="JU132" s="7" t="s">
        <v>252</v>
      </c>
    </row>
    <row r="133" spans="1:281" s="8" customFormat="1" ht="20" customHeight="1" x14ac:dyDescent="0.2">
      <c r="A133" s="35">
        <v>27</v>
      </c>
      <c r="B133" s="7" t="s">
        <v>755</v>
      </c>
      <c r="C133" s="7" t="s">
        <v>504</v>
      </c>
      <c r="D133" s="7" t="s">
        <v>231</v>
      </c>
      <c r="E133" s="8">
        <v>28</v>
      </c>
      <c r="F133" s="8" t="s">
        <v>239</v>
      </c>
      <c r="G133" s="7" t="s">
        <v>237</v>
      </c>
      <c r="H133" s="7">
        <v>15758036</v>
      </c>
      <c r="I133" s="7"/>
      <c r="J133" s="7" t="s">
        <v>505</v>
      </c>
      <c r="K133" s="8">
        <v>2005</v>
      </c>
      <c r="L133" s="12" t="s">
        <v>506</v>
      </c>
      <c r="N133" s="7" t="s">
        <v>234</v>
      </c>
      <c r="O133" s="7" t="s">
        <v>510</v>
      </c>
      <c r="P133" s="36" t="s">
        <v>254</v>
      </c>
      <c r="Q133" s="36"/>
      <c r="R133" s="36"/>
      <c r="S133" s="36"/>
      <c r="T133" s="36"/>
      <c r="U133" s="36"/>
      <c r="V133" s="7" t="s">
        <v>236</v>
      </c>
      <c r="W133" s="7" t="s">
        <v>237</v>
      </c>
      <c r="X133" s="7" t="s">
        <v>284</v>
      </c>
      <c r="Y133" s="7" t="s">
        <v>828</v>
      </c>
      <c r="Z133" s="7" t="s">
        <v>237</v>
      </c>
      <c r="AB133" s="7" t="s">
        <v>237</v>
      </c>
      <c r="AC133" s="7" t="s">
        <v>935</v>
      </c>
      <c r="AD133" s="7" t="s">
        <v>239</v>
      </c>
      <c r="AE133" s="7" t="s">
        <v>876</v>
      </c>
      <c r="AF133" s="7" t="s">
        <v>239</v>
      </c>
      <c r="AG133" s="7" t="s">
        <v>240</v>
      </c>
      <c r="AH133" s="7" t="s">
        <v>239</v>
      </c>
      <c r="AI133" s="8">
        <v>35</v>
      </c>
      <c r="AJ133" s="7" t="s">
        <v>507</v>
      </c>
      <c r="AK133" s="7" t="s">
        <v>239</v>
      </c>
      <c r="AL133" s="8">
        <v>2000</v>
      </c>
      <c r="AM133" s="7" t="s">
        <v>259</v>
      </c>
      <c r="AN133" s="8">
        <v>8000</v>
      </c>
      <c r="AO133" s="8">
        <v>8</v>
      </c>
      <c r="AP133" s="8" t="s">
        <v>939</v>
      </c>
      <c r="AR133" s="8">
        <v>256</v>
      </c>
      <c r="AS133" s="7"/>
      <c r="AT133" s="7"/>
      <c r="AU133" s="7"/>
      <c r="AV133" s="7"/>
      <c r="AW133" s="8">
        <v>30</v>
      </c>
      <c r="AX133" s="7" t="s">
        <v>391</v>
      </c>
      <c r="AY133" s="7" t="s">
        <v>245</v>
      </c>
      <c r="BB133" s="7" t="s">
        <v>246</v>
      </c>
      <c r="BC133" s="41">
        <v>6.9</v>
      </c>
      <c r="BD133" s="41">
        <v>0.9</v>
      </c>
      <c r="BE133" s="41"/>
      <c r="BF133" s="41">
        <v>5.5</v>
      </c>
      <c r="BG133" s="41">
        <v>2</v>
      </c>
      <c r="BH133" s="41"/>
      <c r="BI133" s="11">
        <v>0.12</v>
      </c>
      <c r="BJ133" s="8">
        <v>2</v>
      </c>
      <c r="BK133" s="5" t="str">
        <f t="shared" si="117"/>
        <v>Case_greater_than_control</v>
      </c>
      <c r="BP133" s="7" t="s">
        <v>240</v>
      </c>
      <c r="BR133" s="7" t="s">
        <v>247</v>
      </c>
      <c r="BS133" s="7" t="s">
        <v>254</v>
      </c>
      <c r="CG133" s="7" t="s">
        <v>415</v>
      </c>
      <c r="CH133" s="7" t="s">
        <v>240</v>
      </c>
      <c r="CJ133" s="7" t="s">
        <v>239</v>
      </c>
      <c r="CK133" s="7" t="s">
        <v>248</v>
      </c>
      <c r="CL133" s="8">
        <v>17</v>
      </c>
      <c r="CM133" s="8">
        <v>16</v>
      </c>
      <c r="CN133" s="7" t="s">
        <v>334</v>
      </c>
      <c r="CO133" s="44" t="s">
        <v>825</v>
      </c>
      <c r="CP133" s="44"/>
      <c r="CQ133" s="5" t="s">
        <v>508</v>
      </c>
      <c r="CS133" s="7">
        <v>8</v>
      </c>
      <c r="CT133" s="7">
        <v>7</v>
      </c>
      <c r="CU133" s="7">
        <v>42</v>
      </c>
      <c r="CV133" s="7">
        <v>12</v>
      </c>
      <c r="CW133" s="7">
        <v>38</v>
      </c>
      <c r="CX133" s="7">
        <v>12</v>
      </c>
      <c r="CY133" s="46">
        <f t="shared" si="97"/>
        <v>40.060606060606062</v>
      </c>
      <c r="CZ133" s="46">
        <f t="shared" si="118"/>
        <v>11.98420677897424</v>
      </c>
      <c r="DA133" s="7">
        <v>12</v>
      </c>
      <c r="DB133" s="43">
        <f t="shared" si="89"/>
        <v>70.588235294117652</v>
      </c>
      <c r="DC133" s="8">
        <v>8</v>
      </c>
      <c r="DD133" s="43">
        <f t="shared" si="119"/>
        <v>50</v>
      </c>
      <c r="DE133" s="28">
        <f t="shared" si="120"/>
        <v>60.606060606060609</v>
      </c>
      <c r="DG133" s="8">
        <f t="shared" si="121"/>
        <v>33</v>
      </c>
      <c r="DH133" s="7" t="s">
        <v>237</v>
      </c>
      <c r="DI133" s="8">
        <f t="shared" si="122"/>
        <v>28</v>
      </c>
      <c r="DJ133" s="8">
        <f t="shared" si="123"/>
        <v>72</v>
      </c>
      <c r="DK133" s="7" t="s">
        <v>239</v>
      </c>
      <c r="DM133" s="7" t="s">
        <v>509</v>
      </c>
      <c r="DN133" s="7" t="s">
        <v>833</v>
      </c>
      <c r="DO133" s="7" t="s">
        <v>239</v>
      </c>
      <c r="DP133" s="7"/>
      <c r="DQ133" s="7"/>
      <c r="DR133" s="7"/>
      <c r="DS133" s="42">
        <v>3.5</v>
      </c>
      <c r="DT133" s="41">
        <v>2.1</v>
      </c>
      <c r="JU133" s="7" t="s">
        <v>252</v>
      </c>
    </row>
    <row r="134" spans="1:281" s="8" customFormat="1" ht="20" customHeight="1" x14ac:dyDescent="0.2">
      <c r="A134" s="35">
        <v>27</v>
      </c>
      <c r="B134" s="7" t="s">
        <v>756</v>
      </c>
      <c r="C134" s="7" t="s">
        <v>504</v>
      </c>
      <c r="D134" s="7" t="s">
        <v>231</v>
      </c>
      <c r="E134" s="8">
        <v>28</v>
      </c>
      <c r="F134" s="8" t="s">
        <v>239</v>
      </c>
      <c r="G134" s="7" t="s">
        <v>237</v>
      </c>
      <c r="H134" s="7">
        <v>15758036</v>
      </c>
      <c r="I134" s="7"/>
      <c r="J134" s="7" t="s">
        <v>505</v>
      </c>
      <c r="K134" s="8">
        <v>2005</v>
      </c>
      <c r="L134" s="12" t="s">
        <v>506</v>
      </c>
      <c r="N134" s="7" t="s">
        <v>234</v>
      </c>
      <c r="O134" s="7" t="s">
        <v>511</v>
      </c>
      <c r="P134" s="36" t="s">
        <v>254</v>
      </c>
      <c r="Q134" s="36"/>
      <c r="R134" s="36"/>
      <c r="S134" s="36"/>
      <c r="T134" s="36"/>
      <c r="U134" s="36"/>
      <c r="V134" s="7" t="s">
        <v>236</v>
      </c>
      <c r="W134" s="7" t="s">
        <v>237</v>
      </c>
      <c r="X134" s="7" t="s">
        <v>284</v>
      </c>
      <c r="Y134" s="7" t="s">
        <v>828</v>
      </c>
      <c r="Z134" s="7" t="s">
        <v>237</v>
      </c>
      <c r="AB134" s="7" t="s">
        <v>237</v>
      </c>
      <c r="AC134" s="7" t="s">
        <v>935</v>
      </c>
      <c r="AD134" s="7" t="s">
        <v>239</v>
      </c>
      <c r="AE134" s="7" t="s">
        <v>876</v>
      </c>
      <c r="AF134" s="7" t="s">
        <v>239</v>
      </c>
      <c r="AG134" s="7" t="s">
        <v>240</v>
      </c>
      <c r="AH134" s="7" t="s">
        <v>239</v>
      </c>
      <c r="AI134" s="8">
        <v>35</v>
      </c>
      <c r="AJ134" s="7" t="s">
        <v>507</v>
      </c>
      <c r="AK134" s="7" t="s">
        <v>239</v>
      </c>
      <c r="AL134" s="8">
        <v>2000</v>
      </c>
      <c r="AM134" s="7" t="s">
        <v>259</v>
      </c>
      <c r="AN134" s="8">
        <v>8000</v>
      </c>
      <c r="AO134" s="8">
        <v>8</v>
      </c>
      <c r="AP134" s="8" t="s">
        <v>939</v>
      </c>
      <c r="AR134" s="8">
        <v>256</v>
      </c>
      <c r="AS134" s="7"/>
      <c r="AT134" s="7"/>
      <c r="AU134" s="7"/>
      <c r="AV134" s="7"/>
      <c r="AW134" s="8">
        <v>20</v>
      </c>
      <c r="AX134" s="7" t="s">
        <v>253</v>
      </c>
      <c r="AY134" s="7" t="s">
        <v>245</v>
      </c>
      <c r="BB134" s="7" t="s">
        <v>246</v>
      </c>
      <c r="BC134" s="41">
        <v>6.7</v>
      </c>
      <c r="BD134" s="41">
        <v>1</v>
      </c>
      <c r="BE134" s="41"/>
      <c r="BF134" s="41">
        <v>6.9</v>
      </c>
      <c r="BG134" s="41">
        <v>0.8</v>
      </c>
      <c r="BH134" s="41"/>
      <c r="BI134" s="11">
        <v>0.77</v>
      </c>
      <c r="BJ134" s="8">
        <v>2</v>
      </c>
      <c r="BK134" s="5" t="str">
        <f t="shared" si="117"/>
        <v>Control_greater_than_case</v>
      </c>
      <c r="BP134" s="7" t="s">
        <v>240</v>
      </c>
      <c r="BR134" s="7" t="s">
        <v>247</v>
      </c>
      <c r="BS134" s="7" t="s">
        <v>254</v>
      </c>
      <c r="CG134" s="7" t="s">
        <v>415</v>
      </c>
      <c r="CH134" s="7" t="s">
        <v>240</v>
      </c>
      <c r="CJ134" s="7" t="s">
        <v>239</v>
      </c>
      <c r="CK134" s="7" t="s">
        <v>248</v>
      </c>
      <c r="CL134" s="8">
        <v>10</v>
      </c>
      <c r="CM134" s="8">
        <v>16</v>
      </c>
      <c r="CN134" s="7" t="s">
        <v>334</v>
      </c>
      <c r="CO134" s="44" t="s">
        <v>825</v>
      </c>
      <c r="CP134" s="44"/>
      <c r="CQ134" s="5" t="s">
        <v>508</v>
      </c>
      <c r="CS134" s="7">
        <v>8</v>
      </c>
      <c r="CT134" s="7">
        <v>7</v>
      </c>
      <c r="CU134" s="7">
        <v>42</v>
      </c>
      <c r="CV134" s="7">
        <v>12</v>
      </c>
      <c r="CW134" s="7">
        <v>38</v>
      </c>
      <c r="CX134" s="7">
        <v>12</v>
      </c>
      <c r="CY134" s="46">
        <f t="shared" si="97"/>
        <v>39.53846153846154</v>
      </c>
      <c r="CZ134" s="46">
        <f t="shared" si="118"/>
        <v>11.923861016401588</v>
      </c>
      <c r="DA134" s="7">
        <v>12</v>
      </c>
      <c r="DB134" s="43">
        <f t="shared" si="89"/>
        <v>120</v>
      </c>
      <c r="DC134" s="8">
        <v>8</v>
      </c>
      <c r="DD134" s="43">
        <f t="shared" si="119"/>
        <v>50</v>
      </c>
      <c r="DE134" s="28">
        <f t="shared" si="120"/>
        <v>76.923076923076934</v>
      </c>
      <c r="DG134" s="8">
        <f t="shared" si="121"/>
        <v>26</v>
      </c>
      <c r="DH134" s="7" t="s">
        <v>237</v>
      </c>
      <c r="DI134" s="8">
        <f t="shared" si="122"/>
        <v>28</v>
      </c>
      <c r="DJ134" s="8">
        <f t="shared" si="123"/>
        <v>72</v>
      </c>
      <c r="DK134" s="7" t="s">
        <v>239</v>
      </c>
      <c r="DM134" s="7" t="s">
        <v>509</v>
      </c>
      <c r="DN134" s="7" t="s">
        <v>833</v>
      </c>
      <c r="DO134" s="7" t="s">
        <v>239</v>
      </c>
      <c r="DP134" s="7"/>
      <c r="DQ134" s="7"/>
      <c r="DR134" s="7"/>
      <c r="DS134" s="42">
        <v>3.5</v>
      </c>
      <c r="DT134" s="41">
        <v>2.1</v>
      </c>
      <c r="JU134" s="7" t="s">
        <v>252</v>
      </c>
    </row>
    <row r="135" spans="1:281" s="64" customFormat="1" ht="20" customHeight="1" x14ac:dyDescent="0.2">
      <c r="A135" s="106">
        <v>27</v>
      </c>
      <c r="B135" s="71" t="s">
        <v>757</v>
      </c>
      <c r="C135" s="71" t="s">
        <v>504</v>
      </c>
      <c r="D135" s="71" t="s">
        <v>231</v>
      </c>
      <c r="E135" s="64">
        <v>28</v>
      </c>
      <c r="F135" s="64" t="s">
        <v>239</v>
      </c>
      <c r="G135" s="71" t="s">
        <v>237</v>
      </c>
      <c r="H135" s="71">
        <v>15758036</v>
      </c>
      <c r="I135" s="71"/>
      <c r="J135" s="71" t="s">
        <v>505</v>
      </c>
      <c r="K135" s="64">
        <v>2005</v>
      </c>
      <c r="L135" s="124" t="s">
        <v>506</v>
      </c>
      <c r="N135" s="71" t="s">
        <v>234</v>
      </c>
      <c r="O135" s="71" t="s">
        <v>511</v>
      </c>
      <c r="P135" s="108" t="s">
        <v>254</v>
      </c>
      <c r="Q135" s="108"/>
      <c r="R135" s="108"/>
      <c r="S135" s="108"/>
      <c r="T135" s="108"/>
      <c r="U135" s="108"/>
      <c r="V135" s="71" t="s">
        <v>236</v>
      </c>
      <c r="W135" s="71" t="s">
        <v>237</v>
      </c>
      <c r="X135" s="71" t="s">
        <v>284</v>
      </c>
      <c r="Y135" s="71" t="s">
        <v>828</v>
      </c>
      <c r="Z135" s="71" t="s">
        <v>237</v>
      </c>
      <c r="AB135" s="71" t="s">
        <v>237</v>
      </c>
      <c r="AC135" s="71" t="s">
        <v>935</v>
      </c>
      <c r="AD135" s="71" t="s">
        <v>239</v>
      </c>
      <c r="AE135" s="71" t="s">
        <v>876</v>
      </c>
      <c r="AF135" s="71" t="s">
        <v>239</v>
      </c>
      <c r="AG135" s="71" t="s">
        <v>240</v>
      </c>
      <c r="AH135" s="71" t="s">
        <v>239</v>
      </c>
      <c r="AI135" s="64">
        <v>35</v>
      </c>
      <c r="AJ135" s="71" t="s">
        <v>507</v>
      </c>
      <c r="AK135" s="71" t="s">
        <v>239</v>
      </c>
      <c r="AL135" s="64">
        <v>2000</v>
      </c>
      <c r="AM135" s="71" t="s">
        <v>259</v>
      </c>
      <c r="AN135" s="64">
        <v>8000</v>
      </c>
      <c r="AO135" s="64">
        <v>8</v>
      </c>
      <c r="AP135" s="64" t="s">
        <v>939</v>
      </c>
      <c r="AR135" s="64">
        <v>256</v>
      </c>
      <c r="AS135" s="71"/>
      <c r="AT135" s="71"/>
      <c r="AU135" s="71"/>
      <c r="AV135" s="71"/>
      <c r="AW135" s="64">
        <v>30</v>
      </c>
      <c r="AX135" s="71" t="s">
        <v>391</v>
      </c>
      <c r="AY135" s="71" t="s">
        <v>245</v>
      </c>
      <c r="BB135" s="71" t="s">
        <v>246</v>
      </c>
      <c r="BC135" s="115">
        <v>5.8</v>
      </c>
      <c r="BD135" s="115">
        <v>1.3</v>
      </c>
      <c r="BE135" s="115"/>
      <c r="BF135" s="115">
        <v>5.5</v>
      </c>
      <c r="BG135" s="115">
        <v>2</v>
      </c>
      <c r="BH135" s="115"/>
      <c r="BI135" s="65">
        <v>0.61</v>
      </c>
      <c r="BJ135" s="64">
        <v>2</v>
      </c>
      <c r="BK135" s="73" t="str">
        <f t="shared" si="117"/>
        <v>Case_greater_than_control</v>
      </c>
      <c r="BP135" s="71" t="s">
        <v>240</v>
      </c>
      <c r="BR135" s="71" t="s">
        <v>247</v>
      </c>
      <c r="BS135" s="71" t="s">
        <v>254</v>
      </c>
      <c r="CG135" s="71" t="s">
        <v>415</v>
      </c>
      <c r="CH135" s="71" t="s">
        <v>240</v>
      </c>
      <c r="CJ135" s="71" t="s">
        <v>239</v>
      </c>
      <c r="CK135" s="71" t="s">
        <v>248</v>
      </c>
      <c r="CL135" s="64">
        <v>10</v>
      </c>
      <c r="CM135" s="64">
        <v>16</v>
      </c>
      <c r="CN135" s="71" t="s">
        <v>334</v>
      </c>
      <c r="CO135" s="113" t="s">
        <v>825</v>
      </c>
      <c r="CP135" s="113"/>
      <c r="CQ135" s="73" t="s">
        <v>508</v>
      </c>
      <c r="CS135" s="71">
        <v>8</v>
      </c>
      <c r="CT135" s="71">
        <v>7</v>
      </c>
      <c r="CU135" s="71">
        <v>42</v>
      </c>
      <c r="CV135" s="71">
        <v>12</v>
      </c>
      <c r="CW135" s="71">
        <v>38</v>
      </c>
      <c r="CX135" s="71">
        <v>12</v>
      </c>
      <c r="CY135" s="149">
        <f t="shared" si="97"/>
        <v>39.53846153846154</v>
      </c>
      <c r="CZ135" s="149">
        <f t="shared" si="118"/>
        <v>11.923861016401588</v>
      </c>
      <c r="DA135" s="71">
        <v>12</v>
      </c>
      <c r="DB135" s="117">
        <f t="shared" si="89"/>
        <v>120</v>
      </c>
      <c r="DC135" s="64">
        <v>8</v>
      </c>
      <c r="DD135" s="117">
        <f t="shared" si="119"/>
        <v>50</v>
      </c>
      <c r="DE135" s="80">
        <f t="shared" si="120"/>
        <v>76.923076923076934</v>
      </c>
      <c r="DG135" s="64">
        <f t="shared" si="121"/>
        <v>26</v>
      </c>
      <c r="DH135" s="71" t="s">
        <v>237</v>
      </c>
      <c r="DI135" s="64">
        <f t="shared" si="122"/>
        <v>28</v>
      </c>
      <c r="DJ135" s="64">
        <f t="shared" si="123"/>
        <v>72</v>
      </c>
      <c r="DK135" s="71" t="s">
        <v>239</v>
      </c>
      <c r="DM135" s="71" t="s">
        <v>509</v>
      </c>
      <c r="DN135" s="71" t="s">
        <v>833</v>
      </c>
      <c r="DO135" s="71" t="s">
        <v>239</v>
      </c>
      <c r="DP135" s="71"/>
      <c r="DQ135" s="71"/>
      <c r="DR135" s="71"/>
      <c r="DS135" s="116">
        <v>3.5</v>
      </c>
      <c r="DT135" s="115">
        <v>2.1</v>
      </c>
      <c r="JU135" s="71" t="s">
        <v>252</v>
      </c>
    </row>
    <row r="136" spans="1:281" s="97" customFormat="1" ht="20" customHeight="1" x14ac:dyDescent="0.2">
      <c r="A136" s="95"/>
      <c r="L136" s="148"/>
      <c r="P136" s="99"/>
      <c r="Q136" s="99"/>
      <c r="R136" s="99"/>
      <c r="S136" s="99"/>
      <c r="T136" s="99"/>
      <c r="U136" s="99"/>
      <c r="CG136" s="96"/>
    </row>
    <row r="137" spans="1:281" s="85" customFormat="1" ht="20" customHeight="1" x14ac:dyDescent="0.2">
      <c r="A137" s="83">
        <v>32</v>
      </c>
      <c r="B137" s="84" t="s">
        <v>758</v>
      </c>
      <c r="C137" s="84" t="s">
        <v>514</v>
      </c>
      <c r="D137" s="84" t="s">
        <v>231</v>
      </c>
      <c r="E137" s="85">
        <v>30</v>
      </c>
      <c r="F137" s="85" t="s">
        <v>239</v>
      </c>
      <c r="G137" s="84" t="s">
        <v>237</v>
      </c>
      <c r="H137" s="84">
        <v>34318959</v>
      </c>
      <c r="I137" s="84"/>
      <c r="J137" s="84" t="s">
        <v>512</v>
      </c>
      <c r="K137" s="85">
        <v>2021</v>
      </c>
      <c r="L137" s="119" t="s">
        <v>513</v>
      </c>
      <c r="N137" s="84" t="s">
        <v>234</v>
      </c>
      <c r="O137" s="84" t="s">
        <v>515</v>
      </c>
      <c r="P137" s="87" t="s">
        <v>817</v>
      </c>
      <c r="Q137" s="87" t="s">
        <v>817</v>
      </c>
      <c r="R137" s="87"/>
      <c r="S137" s="87"/>
      <c r="T137" s="87"/>
      <c r="U137" s="87"/>
      <c r="V137" s="84" t="s">
        <v>367</v>
      </c>
      <c r="W137" s="84" t="s">
        <v>239</v>
      </c>
      <c r="X137" s="84" t="s">
        <v>323</v>
      </c>
      <c r="Y137" s="84" t="s">
        <v>323</v>
      </c>
      <c r="Z137" s="84" t="s">
        <v>239</v>
      </c>
      <c r="AA137" s="85">
        <v>4096</v>
      </c>
      <c r="AB137" s="84" t="s">
        <v>237</v>
      </c>
      <c r="AC137" s="84" t="s">
        <v>936</v>
      </c>
      <c r="AD137" s="84" t="s">
        <v>239</v>
      </c>
      <c r="AE137" s="84" t="s">
        <v>874</v>
      </c>
      <c r="AF137" s="84" t="s">
        <v>239</v>
      </c>
      <c r="AG137" s="84" t="s">
        <v>237</v>
      </c>
      <c r="AH137" s="84" t="s">
        <v>239</v>
      </c>
      <c r="AI137" s="85">
        <v>10</v>
      </c>
      <c r="AK137" s="84" t="s">
        <v>239</v>
      </c>
      <c r="AL137" s="85">
        <v>3000</v>
      </c>
      <c r="AM137" s="84" t="s">
        <v>259</v>
      </c>
      <c r="AN137" s="84" t="s">
        <v>260</v>
      </c>
      <c r="AO137" s="84"/>
      <c r="AP137" s="84"/>
      <c r="AQ137" s="84"/>
      <c r="AR137" s="85">
        <v>64</v>
      </c>
      <c r="AS137" s="103">
        <v>1.8</v>
      </c>
      <c r="AT137" s="103">
        <v>0.4</v>
      </c>
      <c r="AU137" s="103">
        <v>1.7</v>
      </c>
      <c r="AV137" s="103">
        <v>0.5</v>
      </c>
      <c r="AW137" s="84">
        <v>20</v>
      </c>
      <c r="AX137" s="84" t="s">
        <v>253</v>
      </c>
      <c r="AY137" s="84" t="s">
        <v>245</v>
      </c>
      <c r="BB137" s="84" t="s">
        <v>246</v>
      </c>
      <c r="BC137" s="88">
        <v>12.92</v>
      </c>
      <c r="BD137" s="88">
        <v>1.1499999999999999</v>
      </c>
      <c r="BE137" s="88"/>
      <c r="BF137" s="88">
        <v>13.17</v>
      </c>
      <c r="BG137" s="88">
        <v>0.95</v>
      </c>
      <c r="BH137" s="88"/>
      <c r="BI137" s="84" t="s">
        <v>297</v>
      </c>
      <c r="BJ137" s="85">
        <v>2</v>
      </c>
      <c r="BK137" s="89" t="str">
        <f t="shared" ref="BK137:BK145" si="124">IF(AND(BC137&lt;&gt;"",BF137&lt;&gt;""),IF(BC137&gt;BF137,"Case_greater_than_control","Control_greater_than_case"),"")</f>
        <v>Control_greater_than_case</v>
      </c>
      <c r="BP137" s="84" t="s">
        <v>239</v>
      </c>
      <c r="BQ137" s="84">
        <v>15</v>
      </c>
      <c r="BR137" s="84" t="s">
        <v>262</v>
      </c>
      <c r="BT137" s="85">
        <v>50</v>
      </c>
      <c r="BU137" s="84">
        <f>0.1*100</f>
        <v>10</v>
      </c>
      <c r="BV137" s="85">
        <v>54</v>
      </c>
      <c r="BW137" s="85">
        <v>6</v>
      </c>
      <c r="CG137" s="84" t="s">
        <v>239</v>
      </c>
      <c r="CH137" s="84" t="s">
        <v>239</v>
      </c>
      <c r="CJ137" s="84" t="s">
        <v>239</v>
      </c>
      <c r="CK137" s="84" t="s">
        <v>248</v>
      </c>
      <c r="CL137" s="85">
        <v>25</v>
      </c>
      <c r="CM137" s="85">
        <v>24</v>
      </c>
      <c r="CN137" s="84" t="s">
        <v>249</v>
      </c>
      <c r="CO137" s="84" t="s">
        <v>249</v>
      </c>
      <c r="CP137" s="84" t="s">
        <v>249</v>
      </c>
      <c r="CQ137" s="89" t="s">
        <v>516</v>
      </c>
      <c r="CS137" s="84">
        <v>9</v>
      </c>
      <c r="CT137" s="84">
        <v>7</v>
      </c>
      <c r="CU137" s="84">
        <v>44</v>
      </c>
      <c r="CV137" s="84">
        <v>13</v>
      </c>
      <c r="CW137" s="84">
        <v>43</v>
      </c>
      <c r="CX137" s="84">
        <v>15</v>
      </c>
      <c r="CY137" s="104">
        <f t="shared" si="97"/>
        <v>43.510204081632651</v>
      </c>
      <c r="CZ137" s="104">
        <f t="shared" ref="CZ137:CZ142" si="125">IF(OR(CY137="",CV137="",CX137=""),"",SQRT(((CL137-1)*(CV137^2) + (CM137-1)*(CX137^2) + CL137*(CU137-CY137)^2 + CM137*(CW137-CY137)^2) / (CL137+CM137-1)))</f>
        <v>13.876872920107624</v>
      </c>
      <c r="DA137" s="84">
        <v>18</v>
      </c>
      <c r="DB137" s="103">
        <f t="shared" si="89"/>
        <v>72</v>
      </c>
      <c r="DC137" s="85">
        <v>16</v>
      </c>
      <c r="DD137" s="105">
        <f t="shared" ref="DD137:DD145" si="126">IF(DC137="","",(DC137/CM137)*100)</f>
        <v>66.666666666666657</v>
      </c>
      <c r="DE137" s="93">
        <f t="shared" ref="DE137:DE145" si="127">IF(AND(DA137&lt;&gt;"",DC137&lt;&gt;""),(DA137+DC137)/(CL137+CM137)*100,
   IF(AND(DB137&lt;&gt;"",DD137&lt;&gt;""),(DB137*CL137 + DD137*CM137)/(CL137+CM137),
   ""))</f>
        <v>69.387755102040813</v>
      </c>
      <c r="DG137" s="85">
        <f t="shared" ref="DG137:DG145" si="128">SUM(CL137,CM137)</f>
        <v>49</v>
      </c>
      <c r="DH137" s="84" t="s">
        <v>237</v>
      </c>
      <c r="DI137" s="85">
        <v>19.239999999999998</v>
      </c>
      <c r="DJ137" s="88">
        <f>21/26*100</f>
        <v>80.769230769230774</v>
      </c>
      <c r="DK137" s="84" t="s">
        <v>239</v>
      </c>
      <c r="DM137" s="84" t="s">
        <v>517</v>
      </c>
      <c r="DN137" s="84" t="s">
        <v>833</v>
      </c>
      <c r="DO137" s="84" t="s">
        <v>237</v>
      </c>
      <c r="DP137" s="84"/>
      <c r="DQ137" s="84"/>
      <c r="DR137" s="84"/>
      <c r="JU137" s="84" t="s">
        <v>252</v>
      </c>
    </row>
    <row r="138" spans="1:281" s="8" customFormat="1" ht="20" customHeight="1" x14ac:dyDescent="0.2">
      <c r="A138" s="35">
        <v>32</v>
      </c>
      <c r="B138" s="7" t="s">
        <v>759</v>
      </c>
      <c r="C138" s="7" t="s">
        <v>514</v>
      </c>
      <c r="D138" s="7" t="s">
        <v>231</v>
      </c>
      <c r="E138" s="8">
        <v>30</v>
      </c>
      <c r="F138" s="8" t="s">
        <v>239</v>
      </c>
      <c r="G138" s="7" t="s">
        <v>237</v>
      </c>
      <c r="H138" s="7">
        <v>34318959</v>
      </c>
      <c r="I138" s="7"/>
      <c r="J138" s="7" t="s">
        <v>512</v>
      </c>
      <c r="K138" s="8">
        <v>2021</v>
      </c>
      <c r="L138" s="12" t="s">
        <v>513</v>
      </c>
      <c r="N138" s="7" t="s">
        <v>234</v>
      </c>
      <c r="O138" s="7" t="s">
        <v>515</v>
      </c>
      <c r="P138" s="36" t="s">
        <v>817</v>
      </c>
      <c r="Q138" s="36" t="s">
        <v>817</v>
      </c>
      <c r="R138" s="36"/>
      <c r="S138" s="36"/>
      <c r="T138" s="36"/>
      <c r="U138" s="36"/>
      <c r="V138" s="7" t="s">
        <v>367</v>
      </c>
      <c r="W138" s="7" t="s">
        <v>239</v>
      </c>
      <c r="X138" s="7" t="s">
        <v>323</v>
      </c>
      <c r="Y138" s="7" t="s">
        <v>323</v>
      </c>
      <c r="Z138" s="7" t="s">
        <v>239</v>
      </c>
      <c r="AA138" s="8">
        <v>4096</v>
      </c>
      <c r="AB138" s="7" t="s">
        <v>237</v>
      </c>
      <c r="AC138" s="7" t="s">
        <v>936</v>
      </c>
      <c r="AD138" s="7" t="s">
        <v>239</v>
      </c>
      <c r="AE138" s="7" t="s">
        <v>874</v>
      </c>
      <c r="AF138" s="7" t="s">
        <v>239</v>
      </c>
      <c r="AG138" s="7" t="s">
        <v>237</v>
      </c>
      <c r="AH138" s="7" t="s">
        <v>239</v>
      </c>
      <c r="AI138" s="8">
        <v>10</v>
      </c>
      <c r="AK138" s="7" t="s">
        <v>239</v>
      </c>
      <c r="AL138" s="8">
        <v>3000</v>
      </c>
      <c r="AM138" s="7" t="s">
        <v>259</v>
      </c>
      <c r="AN138" s="7" t="s">
        <v>260</v>
      </c>
      <c r="AO138" s="7"/>
      <c r="AP138" s="7"/>
      <c r="AQ138" s="7"/>
      <c r="AR138" s="8">
        <v>64</v>
      </c>
      <c r="AS138" s="41">
        <v>3.4</v>
      </c>
      <c r="AT138" s="41">
        <v>0.5</v>
      </c>
      <c r="AU138" s="41">
        <v>3.2</v>
      </c>
      <c r="AV138" s="41">
        <v>0.5</v>
      </c>
      <c r="AW138" s="7">
        <v>20</v>
      </c>
      <c r="AX138" s="7" t="s">
        <v>391</v>
      </c>
      <c r="AY138" s="7" t="s">
        <v>245</v>
      </c>
      <c r="BB138" s="7" t="s">
        <v>246</v>
      </c>
      <c r="BC138" s="11">
        <v>4.7699999999999996</v>
      </c>
      <c r="BD138" s="11">
        <v>0.62</v>
      </c>
      <c r="BE138" s="11"/>
      <c r="BF138" s="11">
        <v>4.84</v>
      </c>
      <c r="BG138" s="11">
        <v>0.42</v>
      </c>
      <c r="BH138" s="11"/>
      <c r="BI138" s="7" t="s">
        <v>297</v>
      </c>
      <c r="BJ138" s="8">
        <v>2</v>
      </c>
      <c r="BK138" s="5" t="str">
        <f t="shared" si="124"/>
        <v>Control_greater_than_case</v>
      </c>
      <c r="BP138" s="7" t="s">
        <v>239</v>
      </c>
      <c r="BQ138" s="8">
        <v>15</v>
      </c>
      <c r="BR138" s="7" t="s">
        <v>262</v>
      </c>
      <c r="BT138" s="8">
        <v>50</v>
      </c>
      <c r="BU138" s="8">
        <v>10</v>
      </c>
      <c r="BV138" s="8">
        <v>54</v>
      </c>
      <c r="BW138" s="8">
        <v>6</v>
      </c>
      <c r="CG138" s="7" t="s">
        <v>239</v>
      </c>
      <c r="CH138" s="7" t="s">
        <v>239</v>
      </c>
      <c r="CJ138" s="7" t="s">
        <v>239</v>
      </c>
      <c r="CK138" s="7" t="s">
        <v>248</v>
      </c>
      <c r="CL138" s="8">
        <v>25</v>
      </c>
      <c r="CM138" s="8">
        <v>24</v>
      </c>
      <c r="CN138" s="7" t="s">
        <v>249</v>
      </c>
      <c r="CO138" s="7" t="s">
        <v>249</v>
      </c>
      <c r="CP138" s="7" t="s">
        <v>249</v>
      </c>
      <c r="CQ138" s="5" t="s">
        <v>516</v>
      </c>
      <c r="CS138" s="7">
        <v>9</v>
      </c>
      <c r="CT138" s="7">
        <v>7</v>
      </c>
      <c r="CU138" s="7">
        <v>44</v>
      </c>
      <c r="CV138" s="7">
        <v>13</v>
      </c>
      <c r="CW138" s="7">
        <v>43</v>
      </c>
      <c r="CX138" s="7">
        <v>15</v>
      </c>
      <c r="CY138" s="42">
        <f t="shared" si="97"/>
        <v>43.510204081632651</v>
      </c>
      <c r="CZ138" s="42">
        <f t="shared" si="125"/>
        <v>13.876872920107624</v>
      </c>
      <c r="DA138" s="7">
        <v>18</v>
      </c>
      <c r="DB138" s="41">
        <f t="shared" si="89"/>
        <v>72</v>
      </c>
      <c r="DC138" s="8">
        <v>16</v>
      </c>
      <c r="DD138" s="43">
        <f t="shared" si="126"/>
        <v>66.666666666666657</v>
      </c>
      <c r="DE138" s="28">
        <f t="shared" si="127"/>
        <v>69.387755102040813</v>
      </c>
      <c r="DG138" s="8">
        <f t="shared" si="128"/>
        <v>49</v>
      </c>
      <c r="DH138" s="7" t="s">
        <v>237</v>
      </c>
      <c r="DI138" s="8">
        <v>19.239999999999998</v>
      </c>
      <c r="DJ138" s="11">
        <f t="shared" ref="DJ138:DJ139" si="129">21/26*100</f>
        <v>80.769230769230774</v>
      </c>
      <c r="DK138" s="7" t="s">
        <v>239</v>
      </c>
      <c r="DM138" s="7" t="s">
        <v>517</v>
      </c>
      <c r="DN138" s="7" t="s">
        <v>833</v>
      </c>
      <c r="DO138" s="7" t="s">
        <v>237</v>
      </c>
      <c r="DP138" s="7"/>
      <c r="DQ138" s="7"/>
      <c r="DR138" s="7"/>
      <c r="JU138" s="7" t="s">
        <v>252</v>
      </c>
    </row>
    <row r="139" spans="1:281" s="8" customFormat="1" ht="20" customHeight="1" x14ac:dyDescent="0.2">
      <c r="A139" s="35">
        <v>32</v>
      </c>
      <c r="B139" s="7" t="s">
        <v>760</v>
      </c>
      <c r="C139" s="7" t="s">
        <v>514</v>
      </c>
      <c r="D139" s="7" t="s">
        <v>231</v>
      </c>
      <c r="E139" s="8">
        <v>30</v>
      </c>
      <c r="F139" s="8" t="s">
        <v>237</v>
      </c>
      <c r="G139" s="7" t="s">
        <v>237</v>
      </c>
      <c r="H139" s="7">
        <v>34318959</v>
      </c>
      <c r="I139" s="7"/>
      <c r="J139" s="7" t="s">
        <v>512</v>
      </c>
      <c r="K139" s="8">
        <v>2021</v>
      </c>
      <c r="L139" s="12" t="s">
        <v>513</v>
      </c>
      <c r="N139" s="7" t="s">
        <v>234</v>
      </c>
      <c r="O139" s="7" t="s">
        <v>515</v>
      </c>
      <c r="P139" s="36" t="s">
        <v>817</v>
      </c>
      <c r="Q139" s="36" t="s">
        <v>817</v>
      </c>
      <c r="R139" s="36"/>
      <c r="S139" s="36"/>
      <c r="T139" s="36"/>
      <c r="U139" s="36"/>
      <c r="V139" s="7" t="s">
        <v>367</v>
      </c>
      <c r="W139" s="7" t="s">
        <v>239</v>
      </c>
      <c r="X139" s="7" t="s">
        <v>323</v>
      </c>
      <c r="Y139" s="7" t="s">
        <v>323</v>
      </c>
      <c r="Z139" s="7" t="s">
        <v>239</v>
      </c>
      <c r="AA139" s="8">
        <v>4096</v>
      </c>
      <c r="AB139" s="7" t="s">
        <v>237</v>
      </c>
      <c r="AC139" s="7" t="s">
        <v>936</v>
      </c>
      <c r="AD139" s="7" t="s">
        <v>239</v>
      </c>
      <c r="AE139" s="7" t="s">
        <v>874</v>
      </c>
      <c r="AF139" s="7" t="s">
        <v>239</v>
      </c>
      <c r="AG139" s="7" t="s">
        <v>237</v>
      </c>
      <c r="AH139" s="7" t="s">
        <v>239</v>
      </c>
      <c r="AI139" s="8">
        <v>10</v>
      </c>
      <c r="AK139" s="7" t="s">
        <v>239</v>
      </c>
      <c r="AL139" s="8">
        <v>3000</v>
      </c>
      <c r="AM139" s="7" t="s">
        <v>259</v>
      </c>
      <c r="AN139" s="7" t="s">
        <v>260</v>
      </c>
      <c r="AO139" s="7"/>
      <c r="AP139" s="7"/>
      <c r="AQ139" s="7"/>
      <c r="AR139" s="8">
        <v>64</v>
      </c>
      <c r="AS139" s="41"/>
      <c r="AT139" s="41"/>
      <c r="AU139" s="41"/>
      <c r="AV139" s="41"/>
      <c r="AW139" s="7">
        <v>20</v>
      </c>
      <c r="AX139" s="7" t="s">
        <v>244</v>
      </c>
      <c r="AY139" s="7" t="s">
        <v>245</v>
      </c>
      <c r="BB139" s="7" t="s">
        <v>246</v>
      </c>
      <c r="BC139" s="11">
        <v>16.53</v>
      </c>
      <c r="BD139" s="11">
        <v>1.69</v>
      </c>
      <c r="BE139" s="11"/>
      <c r="BF139" s="11">
        <v>16.89</v>
      </c>
      <c r="BG139" s="11">
        <v>1.0900000000000001</v>
      </c>
      <c r="BH139" s="11"/>
      <c r="BI139" s="7" t="s">
        <v>297</v>
      </c>
      <c r="BJ139" s="8">
        <v>2</v>
      </c>
      <c r="BK139" s="5" t="str">
        <f t="shared" si="124"/>
        <v>Control_greater_than_case</v>
      </c>
      <c r="BP139" s="7" t="s">
        <v>239</v>
      </c>
      <c r="BQ139" s="8">
        <v>15</v>
      </c>
      <c r="BR139" s="7" t="s">
        <v>262</v>
      </c>
      <c r="BT139" s="8">
        <v>50</v>
      </c>
      <c r="BU139" s="8">
        <v>10</v>
      </c>
      <c r="BV139" s="8">
        <v>54</v>
      </c>
      <c r="BW139" s="8">
        <v>6</v>
      </c>
      <c r="CG139" s="7" t="s">
        <v>239</v>
      </c>
      <c r="CH139" s="7" t="s">
        <v>239</v>
      </c>
      <c r="CJ139" s="7" t="s">
        <v>239</v>
      </c>
      <c r="CK139" s="7" t="s">
        <v>248</v>
      </c>
      <c r="CL139" s="8">
        <v>25</v>
      </c>
      <c r="CM139" s="8">
        <v>24</v>
      </c>
      <c r="CN139" s="7" t="s">
        <v>249</v>
      </c>
      <c r="CO139" s="7" t="s">
        <v>249</v>
      </c>
      <c r="CP139" s="7" t="s">
        <v>249</v>
      </c>
      <c r="CQ139" s="5" t="s">
        <v>516</v>
      </c>
      <c r="CS139" s="7">
        <v>9</v>
      </c>
      <c r="CT139" s="7">
        <v>7</v>
      </c>
      <c r="CU139" s="7">
        <v>44</v>
      </c>
      <c r="CV139" s="7">
        <v>13</v>
      </c>
      <c r="CW139" s="7">
        <v>43</v>
      </c>
      <c r="CX139" s="7">
        <v>15</v>
      </c>
      <c r="CY139" s="42">
        <f t="shared" si="97"/>
        <v>43.510204081632651</v>
      </c>
      <c r="CZ139" s="42">
        <f t="shared" si="125"/>
        <v>13.876872920107624</v>
      </c>
      <c r="DA139" s="7">
        <v>18</v>
      </c>
      <c r="DB139" s="41">
        <f t="shared" si="89"/>
        <v>72</v>
      </c>
      <c r="DC139" s="8">
        <v>16</v>
      </c>
      <c r="DD139" s="43">
        <f t="shared" si="126"/>
        <v>66.666666666666657</v>
      </c>
      <c r="DE139" s="28">
        <f t="shared" si="127"/>
        <v>69.387755102040813</v>
      </c>
      <c r="DG139" s="8">
        <f t="shared" si="128"/>
        <v>49</v>
      </c>
      <c r="DH139" s="7" t="s">
        <v>237</v>
      </c>
      <c r="DI139" s="8">
        <v>19.239999999999998</v>
      </c>
      <c r="DJ139" s="11">
        <f t="shared" si="129"/>
        <v>80.769230769230774</v>
      </c>
      <c r="DK139" s="7" t="s">
        <v>239</v>
      </c>
      <c r="DM139" s="7" t="s">
        <v>517</v>
      </c>
      <c r="DN139" s="7" t="s">
        <v>833</v>
      </c>
      <c r="DO139" s="7" t="s">
        <v>237</v>
      </c>
      <c r="DP139" s="7"/>
      <c r="DQ139" s="7"/>
      <c r="DR139" s="7"/>
      <c r="JU139" s="7" t="s">
        <v>252</v>
      </c>
    </row>
    <row r="140" spans="1:281" s="8" customFormat="1" ht="20" customHeight="1" x14ac:dyDescent="0.2">
      <c r="A140" s="35">
        <v>32</v>
      </c>
      <c r="B140" s="7" t="s">
        <v>761</v>
      </c>
      <c r="C140" s="7" t="s">
        <v>514</v>
      </c>
      <c r="D140" s="7" t="s">
        <v>231</v>
      </c>
      <c r="E140" s="8">
        <v>30</v>
      </c>
      <c r="F140" s="8" t="s">
        <v>239</v>
      </c>
      <c r="G140" s="7" t="s">
        <v>237</v>
      </c>
      <c r="H140" s="7">
        <v>34318959</v>
      </c>
      <c r="I140" s="7"/>
      <c r="J140" s="7" t="s">
        <v>512</v>
      </c>
      <c r="K140" s="8">
        <v>2021</v>
      </c>
      <c r="L140" s="12" t="s">
        <v>513</v>
      </c>
      <c r="N140" s="7" t="s">
        <v>234</v>
      </c>
      <c r="O140" s="7" t="s">
        <v>515</v>
      </c>
      <c r="P140" s="36" t="s">
        <v>817</v>
      </c>
      <c r="Q140" s="36" t="s">
        <v>817</v>
      </c>
      <c r="R140" s="36"/>
      <c r="S140" s="36"/>
      <c r="T140" s="36"/>
      <c r="U140" s="36"/>
      <c r="V140" s="7" t="s">
        <v>367</v>
      </c>
      <c r="W140" s="7" t="s">
        <v>239</v>
      </c>
      <c r="X140" s="7" t="s">
        <v>323</v>
      </c>
      <c r="Y140" s="7" t="s">
        <v>323</v>
      </c>
      <c r="Z140" s="7" t="s">
        <v>239</v>
      </c>
      <c r="AA140" s="8">
        <v>4096</v>
      </c>
      <c r="AB140" s="7" t="s">
        <v>237</v>
      </c>
      <c r="AC140" s="7" t="s">
        <v>936</v>
      </c>
      <c r="AD140" s="7" t="s">
        <v>239</v>
      </c>
      <c r="AE140" s="7" t="s">
        <v>874</v>
      </c>
      <c r="AF140" s="7" t="s">
        <v>239</v>
      </c>
      <c r="AG140" s="7" t="s">
        <v>237</v>
      </c>
      <c r="AH140" s="7" t="s">
        <v>239</v>
      </c>
      <c r="AI140" s="8">
        <v>10</v>
      </c>
      <c r="AK140" s="7" t="s">
        <v>239</v>
      </c>
      <c r="AL140" s="8">
        <v>3000</v>
      </c>
      <c r="AM140" s="7" t="s">
        <v>259</v>
      </c>
      <c r="AN140" s="7" t="s">
        <v>260</v>
      </c>
      <c r="AO140" s="7"/>
      <c r="AP140" s="7"/>
      <c r="AQ140" s="7"/>
      <c r="AR140" s="8">
        <v>64</v>
      </c>
      <c r="AS140" s="41">
        <v>1.8</v>
      </c>
      <c r="AT140" s="41">
        <v>0.4</v>
      </c>
      <c r="AU140" s="41">
        <v>1.7</v>
      </c>
      <c r="AV140" s="41">
        <v>0.5</v>
      </c>
      <c r="AW140" s="7">
        <v>20</v>
      </c>
      <c r="AX140" s="7" t="s">
        <v>253</v>
      </c>
      <c r="AY140" s="7" t="s">
        <v>245</v>
      </c>
      <c r="BB140" s="7" t="s">
        <v>246</v>
      </c>
      <c r="BC140" s="11">
        <v>12.4</v>
      </c>
      <c r="BD140" s="11">
        <v>0.62</v>
      </c>
      <c r="BE140" s="11"/>
      <c r="BF140" s="11">
        <v>13.17</v>
      </c>
      <c r="BG140" s="11">
        <v>0.95</v>
      </c>
      <c r="BH140" s="11"/>
      <c r="BI140" s="7" t="s">
        <v>465</v>
      </c>
      <c r="BJ140" s="8">
        <v>2</v>
      </c>
      <c r="BK140" s="5" t="str">
        <f t="shared" si="124"/>
        <v>Control_greater_than_case</v>
      </c>
      <c r="BP140" s="7" t="s">
        <v>239</v>
      </c>
      <c r="BQ140" s="8">
        <v>15</v>
      </c>
      <c r="BR140" s="7" t="s">
        <v>262</v>
      </c>
      <c r="BT140" s="8">
        <v>51</v>
      </c>
      <c r="BU140" s="8">
        <v>9</v>
      </c>
      <c r="BV140" s="8">
        <v>54</v>
      </c>
      <c r="BW140" s="8">
        <v>6</v>
      </c>
      <c r="CG140" s="7" t="s">
        <v>239</v>
      </c>
      <c r="CH140" s="7" t="s">
        <v>239</v>
      </c>
      <c r="CJ140" s="7" t="s">
        <v>239</v>
      </c>
      <c r="CK140" s="7" t="s">
        <v>248</v>
      </c>
      <c r="CL140" s="8">
        <v>19</v>
      </c>
      <c r="CM140" s="8">
        <v>24</v>
      </c>
      <c r="CN140" s="7" t="s">
        <v>292</v>
      </c>
      <c r="CO140" s="7" t="s">
        <v>292</v>
      </c>
      <c r="CP140" s="7" t="s">
        <v>292</v>
      </c>
      <c r="CQ140" s="5" t="s">
        <v>516</v>
      </c>
      <c r="CS140" s="7">
        <v>16</v>
      </c>
      <c r="CT140" s="7">
        <v>13</v>
      </c>
      <c r="CU140" s="7">
        <v>55</v>
      </c>
      <c r="CV140" s="7">
        <v>8</v>
      </c>
      <c r="CW140" s="7">
        <v>43</v>
      </c>
      <c r="CX140" s="7">
        <v>15</v>
      </c>
      <c r="CY140" s="42">
        <f t="shared" si="97"/>
        <v>48.302325581395351</v>
      </c>
      <c r="CZ140" s="42">
        <f t="shared" si="125"/>
        <v>13.674855067954764</v>
      </c>
      <c r="DA140" s="7">
        <v>12</v>
      </c>
      <c r="DB140" s="41">
        <f t="shared" si="89"/>
        <v>63.157894736842103</v>
      </c>
      <c r="DC140" s="8">
        <v>16</v>
      </c>
      <c r="DD140" s="43">
        <f t="shared" si="126"/>
        <v>66.666666666666657</v>
      </c>
      <c r="DE140" s="28">
        <f t="shared" si="127"/>
        <v>65.116279069767444</v>
      </c>
      <c r="DG140" s="8">
        <f t="shared" si="128"/>
        <v>43</v>
      </c>
      <c r="DH140" s="7" t="s">
        <v>237</v>
      </c>
      <c r="DI140" s="8">
        <v>38.090000000000003</v>
      </c>
      <c r="DJ140" s="11">
        <f>13/21*100</f>
        <v>61.904761904761905</v>
      </c>
      <c r="DK140" s="7" t="s">
        <v>239</v>
      </c>
      <c r="DM140" s="7" t="s">
        <v>518</v>
      </c>
      <c r="DN140" s="7" t="s">
        <v>833</v>
      </c>
      <c r="DO140" s="7" t="s">
        <v>237</v>
      </c>
      <c r="DP140" s="7"/>
      <c r="DQ140" s="7"/>
      <c r="DR140" s="7"/>
      <c r="JU140" s="7" t="s">
        <v>252</v>
      </c>
    </row>
    <row r="141" spans="1:281" s="8" customFormat="1" ht="20" customHeight="1" x14ac:dyDescent="0.2">
      <c r="A141" s="35">
        <v>32</v>
      </c>
      <c r="B141" s="7" t="s">
        <v>762</v>
      </c>
      <c r="C141" s="7" t="s">
        <v>514</v>
      </c>
      <c r="D141" s="7" t="s">
        <v>231</v>
      </c>
      <c r="E141" s="8">
        <v>30</v>
      </c>
      <c r="F141" s="8" t="s">
        <v>239</v>
      </c>
      <c r="G141" s="7" t="s">
        <v>237</v>
      </c>
      <c r="H141" s="7">
        <v>34318959</v>
      </c>
      <c r="I141" s="7"/>
      <c r="J141" s="7" t="s">
        <v>512</v>
      </c>
      <c r="K141" s="8">
        <v>2021</v>
      </c>
      <c r="L141" s="12" t="s">
        <v>513</v>
      </c>
      <c r="N141" s="7" t="s">
        <v>234</v>
      </c>
      <c r="O141" s="7" t="s">
        <v>515</v>
      </c>
      <c r="P141" s="36" t="s">
        <v>817</v>
      </c>
      <c r="Q141" s="36" t="s">
        <v>817</v>
      </c>
      <c r="R141" s="36"/>
      <c r="S141" s="36"/>
      <c r="T141" s="36"/>
      <c r="U141" s="36"/>
      <c r="V141" s="7" t="s">
        <v>367</v>
      </c>
      <c r="W141" s="7" t="s">
        <v>239</v>
      </c>
      <c r="X141" s="7" t="s">
        <v>323</v>
      </c>
      <c r="Y141" s="7" t="s">
        <v>323</v>
      </c>
      <c r="Z141" s="7" t="s">
        <v>239</v>
      </c>
      <c r="AA141" s="8">
        <v>4096</v>
      </c>
      <c r="AB141" s="7" t="s">
        <v>237</v>
      </c>
      <c r="AC141" s="7" t="s">
        <v>936</v>
      </c>
      <c r="AD141" s="7" t="s">
        <v>239</v>
      </c>
      <c r="AE141" s="7" t="s">
        <v>874</v>
      </c>
      <c r="AF141" s="7" t="s">
        <v>239</v>
      </c>
      <c r="AG141" s="7" t="s">
        <v>237</v>
      </c>
      <c r="AH141" s="7" t="s">
        <v>239</v>
      </c>
      <c r="AI141" s="8">
        <v>10</v>
      </c>
      <c r="AK141" s="7" t="s">
        <v>239</v>
      </c>
      <c r="AL141" s="8">
        <v>3000</v>
      </c>
      <c r="AM141" s="7" t="s">
        <v>259</v>
      </c>
      <c r="AN141" s="7" t="s">
        <v>260</v>
      </c>
      <c r="AO141" s="7"/>
      <c r="AP141" s="7"/>
      <c r="AQ141" s="7"/>
      <c r="AR141" s="8">
        <v>64</v>
      </c>
      <c r="AS141" s="41">
        <v>3.2</v>
      </c>
      <c r="AT141" s="41">
        <v>0.4</v>
      </c>
      <c r="AU141" s="41">
        <v>3.2</v>
      </c>
      <c r="AV141" s="41">
        <v>0.5</v>
      </c>
      <c r="AW141" s="7">
        <v>20</v>
      </c>
      <c r="AX141" s="7" t="s">
        <v>391</v>
      </c>
      <c r="AY141" s="7" t="s">
        <v>245</v>
      </c>
      <c r="BB141" s="7" t="s">
        <v>246</v>
      </c>
      <c r="BC141" s="11">
        <v>4.71</v>
      </c>
      <c r="BD141" s="11">
        <v>0.35</v>
      </c>
      <c r="BE141" s="11"/>
      <c r="BF141" s="11">
        <v>4.84</v>
      </c>
      <c r="BG141" s="11">
        <v>0.42</v>
      </c>
      <c r="BH141" s="11"/>
      <c r="BI141" s="7" t="s">
        <v>297</v>
      </c>
      <c r="BJ141" s="8">
        <v>2</v>
      </c>
      <c r="BK141" s="5" t="str">
        <f t="shared" si="124"/>
        <v>Control_greater_than_case</v>
      </c>
      <c r="BP141" s="7" t="s">
        <v>239</v>
      </c>
      <c r="BQ141" s="8">
        <v>15</v>
      </c>
      <c r="BR141" s="7" t="s">
        <v>262</v>
      </c>
      <c r="BT141" s="8">
        <v>51</v>
      </c>
      <c r="BU141" s="8">
        <v>9</v>
      </c>
      <c r="BV141" s="8">
        <v>54</v>
      </c>
      <c r="BW141" s="8">
        <v>6</v>
      </c>
      <c r="CG141" s="7" t="s">
        <v>239</v>
      </c>
      <c r="CH141" s="7" t="s">
        <v>239</v>
      </c>
      <c r="CJ141" s="7" t="s">
        <v>239</v>
      </c>
      <c r="CK141" s="7" t="s">
        <v>248</v>
      </c>
      <c r="CL141" s="8">
        <v>19</v>
      </c>
      <c r="CM141" s="8">
        <v>24</v>
      </c>
      <c r="CN141" s="7" t="s">
        <v>292</v>
      </c>
      <c r="CO141" s="7" t="s">
        <v>292</v>
      </c>
      <c r="CP141" s="7" t="s">
        <v>292</v>
      </c>
      <c r="CQ141" s="5" t="s">
        <v>516</v>
      </c>
      <c r="CS141" s="7">
        <v>16</v>
      </c>
      <c r="CT141" s="7">
        <v>13</v>
      </c>
      <c r="CU141" s="7">
        <v>55</v>
      </c>
      <c r="CV141" s="7">
        <v>8</v>
      </c>
      <c r="CW141" s="7">
        <v>43</v>
      </c>
      <c r="CX141" s="7">
        <v>15</v>
      </c>
      <c r="CY141" s="42">
        <f t="shared" si="97"/>
        <v>48.302325581395351</v>
      </c>
      <c r="CZ141" s="42">
        <f t="shared" si="125"/>
        <v>13.674855067954764</v>
      </c>
      <c r="DA141" s="7">
        <v>12</v>
      </c>
      <c r="DB141" s="41">
        <f t="shared" si="89"/>
        <v>63.157894736842103</v>
      </c>
      <c r="DC141" s="8">
        <v>16</v>
      </c>
      <c r="DD141" s="43">
        <f t="shared" si="126"/>
        <v>66.666666666666657</v>
      </c>
      <c r="DE141" s="28">
        <f t="shared" si="127"/>
        <v>65.116279069767444</v>
      </c>
      <c r="DG141" s="8">
        <f t="shared" si="128"/>
        <v>43</v>
      </c>
      <c r="DH141" s="7" t="s">
        <v>237</v>
      </c>
      <c r="DI141" s="8">
        <v>38.090000000000003</v>
      </c>
      <c r="DJ141" s="11">
        <f t="shared" ref="DJ141:DJ142" si="130">13/21*100</f>
        <v>61.904761904761905</v>
      </c>
      <c r="DK141" s="7" t="s">
        <v>239</v>
      </c>
      <c r="DM141" s="7" t="s">
        <v>518</v>
      </c>
      <c r="DN141" s="7" t="s">
        <v>833</v>
      </c>
      <c r="DO141" s="7" t="s">
        <v>237</v>
      </c>
      <c r="DP141" s="7"/>
      <c r="DQ141" s="7"/>
      <c r="DR141" s="7"/>
      <c r="JU141" s="7" t="s">
        <v>252</v>
      </c>
    </row>
    <row r="142" spans="1:281" s="8" customFormat="1" ht="20" customHeight="1" x14ac:dyDescent="0.2">
      <c r="A142" s="35">
        <v>32</v>
      </c>
      <c r="B142" s="7" t="s">
        <v>763</v>
      </c>
      <c r="C142" s="7" t="s">
        <v>514</v>
      </c>
      <c r="D142" s="7" t="s">
        <v>231</v>
      </c>
      <c r="E142" s="8">
        <v>30</v>
      </c>
      <c r="F142" s="8" t="s">
        <v>237</v>
      </c>
      <c r="G142" s="7" t="s">
        <v>237</v>
      </c>
      <c r="H142" s="7">
        <v>34318959</v>
      </c>
      <c r="I142" s="7"/>
      <c r="J142" s="7" t="s">
        <v>512</v>
      </c>
      <c r="K142" s="8">
        <v>2021</v>
      </c>
      <c r="L142" s="12" t="s">
        <v>513</v>
      </c>
      <c r="N142" s="7" t="s">
        <v>234</v>
      </c>
      <c r="O142" s="7" t="s">
        <v>515</v>
      </c>
      <c r="P142" s="36" t="s">
        <v>817</v>
      </c>
      <c r="Q142" s="36" t="s">
        <v>817</v>
      </c>
      <c r="R142" s="36"/>
      <c r="S142" s="36"/>
      <c r="T142" s="36"/>
      <c r="U142" s="36"/>
      <c r="V142" s="7" t="s">
        <v>367</v>
      </c>
      <c r="W142" s="7" t="s">
        <v>239</v>
      </c>
      <c r="X142" s="7" t="s">
        <v>323</v>
      </c>
      <c r="Y142" s="7" t="s">
        <v>323</v>
      </c>
      <c r="Z142" s="7" t="s">
        <v>239</v>
      </c>
      <c r="AA142" s="8">
        <v>4096</v>
      </c>
      <c r="AB142" s="7" t="s">
        <v>237</v>
      </c>
      <c r="AC142" s="7" t="s">
        <v>936</v>
      </c>
      <c r="AD142" s="7" t="s">
        <v>239</v>
      </c>
      <c r="AE142" s="7" t="s">
        <v>874</v>
      </c>
      <c r="AF142" s="7" t="s">
        <v>239</v>
      </c>
      <c r="AG142" s="7" t="s">
        <v>237</v>
      </c>
      <c r="AH142" s="7" t="s">
        <v>239</v>
      </c>
      <c r="AI142" s="8">
        <v>10</v>
      </c>
      <c r="AK142" s="7" t="s">
        <v>239</v>
      </c>
      <c r="AL142" s="8">
        <v>3000</v>
      </c>
      <c r="AM142" s="7" t="s">
        <v>259</v>
      </c>
      <c r="AN142" s="7" t="s">
        <v>260</v>
      </c>
      <c r="AO142" s="7"/>
      <c r="AP142" s="7"/>
      <c r="AQ142" s="7"/>
      <c r="AR142" s="8">
        <v>64</v>
      </c>
      <c r="AS142" s="41"/>
      <c r="AT142" s="41"/>
      <c r="AU142" s="41"/>
      <c r="AV142" s="41"/>
      <c r="AW142" s="7">
        <v>20</v>
      </c>
      <c r="AX142" s="7" t="s">
        <v>244</v>
      </c>
      <c r="AY142" s="7" t="s">
        <v>245</v>
      </c>
      <c r="BB142" s="7" t="s">
        <v>246</v>
      </c>
      <c r="BC142" s="11">
        <v>15.69</v>
      </c>
      <c r="BD142" s="11">
        <v>0.77</v>
      </c>
      <c r="BE142" s="11"/>
      <c r="BF142" s="11">
        <v>16.89</v>
      </c>
      <c r="BG142" s="11">
        <v>1.0900000000000001</v>
      </c>
      <c r="BH142" s="11"/>
      <c r="BI142" s="7" t="s">
        <v>465</v>
      </c>
      <c r="BJ142" s="8">
        <v>2</v>
      </c>
      <c r="BK142" s="5" t="str">
        <f t="shared" si="124"/>
        <v>Control_greater_than_case</v>
      </c>
      <c r="BP142" s="7" t="s">
        <v>239</v>
      </c>
      <c r="BQ142" s="8">
        <v>15</v>
      </c>
      <c r="BR142" s="7" t="s">
        <v>262</v>
      </c>
      <c r="BT142" s="8">
        <v>51</v>
      </c>
      <c r="BU142" s="8">
        <v>9</v>
      </c>
      <c r="BV142" s="8">
        <v>54</v>
      </c>
      <c r="BW142" s="8">
        <v>6</v>
      </c>
      <c r="CG142" s="7" t="s">
        <v>239</v>
      </c>
      <c r="CH142" s="7" t="s">
        <v>239</v>
      </c>
      <c r="CJ142" s="7" t="s">
        <v>239</v>
      </c>
      <c r="CK142" s="7" t="s">
        <v>248</v>
      </c>
      <c r="CL142" s="8">
        <v>19</v>
      </c>
      <c r="CM142" s="8">
        <v>24</v>
      </c>
      <c r="CN142" s="7" t="s">
        <v>292</v>
      </c>
      <c r="CO142" s="7" t="s">
        <v>292</v>
      </c>
      <c r="CP142" s="7" t="s">
        <v>292</v>
      </c>
      <c r="CQ142" s="5" t="s">
        <v>516</v>
      </c>
      <c r="CS142" s="7">
        <v>16</v>
      </c>
      <c r="CT142" s="7">
        <v>13</v>
      </c>
      <c r="CU142" s="7">
        <v>55</v>
      </c>
      <c r="CV142" s="7">
        <v>8</v>
      </c>
      <c r="CW142" s="7">
        <v>43</v>
      </c>
      <c r="CX142" s="7">
        <v>15</v>
      </c>
      <c r="CY142" s="42">
        <f t="shared" si="97"/>
        <v>48.302325581395351</v>
      </c>
      <c r="CZ142" s="42">
        <f t="shared" si="125"/>
        <v>13.674855067954764</v>
      </c>
      <c r="DA142" s="7">
        <v>12</v>
      </c>
      <c r="DB142" s="41">
        <f t="shared" si="89"/>
        <v>63.157894736842103</v>
      </c>
      <c r="DC142" s="8">
        <v>16</v>
      </c>
      <c r="DD142" s="43">
        <f t="shared" si="126"/>
        <v>66.666666666666657</v>
      </c>
      <c r="DE142" s="28">
        <f t="shared" si="127"/>
        <v>65.116279069767444</v>
      </c>
      <c r="DG142" s="8">
        <f t="shared" si="128"/>
        <v>43</v>
      </c>
      <c r="DH142" s="7" t="s">
        <v>237</v>
      </c>
      <c r="DI142" s="8">
        <v>38.090000000000003</v>
      </c>
      <c r="DJ142" s="11">
        <f t="shared" si="130"/>
        <v>61.904761904761905</v>
      </c>
      <c r="DK142" s="7" t="s">
        <v>239</v>
      </c>
      <c r="DM142" s="7" t="s">
        <v>518</v>
      </c>
      <c r="DN142" s="7" t="s">
        <v>833</v>
      </c>
      <c r="DO142" s="7" t="s">
        <v>237</v>
      </c>
      <c r="DP142" s="7"/>
      <c r="DQ142" s="7"/>
      <c r="DR142" s="7"/>
      <c r="JU142" s="7" t="s">
        <v>252</v>
      </c>
    </row>
    <row r="143" spans="1:281" s="8" customFormat="1" ht="20" customHeight="1" x14ac:dyDescent="0.2">
      <c r="A143" s="35">
        <v>32</v>
      </c>
      <c r="B143" s="7" t="s">
        <v>765</v>
      </c>
      <c r="C143" s="7" t="s">
        <v>514</v>
      </c>
      <c r="D143" s="7" t="s">
        <v>231</v>
      </c>
      <c r="E143" s="8">
        <v>30</v>
      </c>
      <c r="F143" s="8" t="s">
        <v>237</v>
      </c>
      <c r="G143" s="7" t="s">
        <v>237</v>
      </c>
      <c r="H143" s="7">
        <v>34318959</v>
      </c>
      <c r="I143" s="7"/>
      <c r="J143" s="7" t="s">
        <v>512</v>
      </c>
      <c r="K143" s="8">
        <v>2021</v>
      </c>
      <c r="L143" s="12" t="s">
        <v>513</v>
      </c>
      <c r="N143" s="7" t="s">
        <v>234</v>
      </c>
      <c r="O143" s="7" t="s">
        <v>515</v>
      </c>
      <c r="P143" s="36" t="s">
        <v>817</v>
      </c>
      <c r="Q143" s="36" t="s">
        <v>817</v>
      </c>
      <c r="R143" s="36"/>
      <c r="S143" s="36"/>
      <c r="T143" s="36"/>
      <c r="U143" s="36"/>
      <c r="V143" s="7" t="s">
        <v>367</v>
      </c>
      <c r="W143" s="7" t="s">
        <v>239</v>
      </c>
      <c r="X143" s="7" t="s">
        <v>323</v>
      </c>
      <c r="Y143" s="7" t="s">
        <v>323</v>
      </c>
      <c r="Z143" s="7" t="s">
        <v>239</v>
      </c>
      <c r="AA143" s="8">
        <v>4096</v>
      </c>
      <c r="AB143" s="7" t="s">
        <v>237</v>
      </c>
      <c r="AC143" s="7" t="s">
        <v>936</v>
      </c>
      <c r="AD143" s="7" t="s">
        <v>239</v>
      </c>
      <c r="AE143" s="7" t="s">
        <v>874</v>
      </c>
      <c r="AF143" s="7" t="s">
        <v>239</v>
      </c>
      <c r="AG143" s="7" t="s">
        <v>237</v>
      </c>
      <c r="AH143" s="7" t="s">
        <v>239</v>
      </c>
      <c r="AI143" s="8">
        <v>10</v>
      </c>
      <c r="AK143" s="7" t="s">
        <v>239</v>
      </c>
      <c r="AL143" s="8">
        <v>3000</v>
      </c>
      <c r="AM143" s="7" t="s">
        <v>259</v>
      </c>
      <c r="AN143" s="7" t="s">
        <v>260</v>
      </c>
      <c r="AO143" s="7"/>
      <c r="AP143" s="7"/>
      <c r="AQ143" s="7"/>
      <c r="AR143" s="8">
        <v>64</v>
      </c>
      <c r="AS143" s="41"/>
      <c r="AT143" s="41"/>
      <c r="AU143" s="41">
        <v>1.7</v>
      </c>
      <c r="AV143" s="41">
        <v>0.5</v>
      </c>
      <c r="AW143" s="7">
        <v>20</v>
      </c>
      <c r="AX143" s="7" t="s">
        <v>253</v>
      </c>
      <c r="AY143" s="7" t="s">
        <v>245</v>
      </c>
      <c r="BB143" s="7" t="s">
        <v>246</v>
      </c>
      <c r="BC143" s="11">
        <v>12.7</v>
      </c>
      <c r="BD143" s="11">
        <v>0.99</v>
      </c>
      <c r="BE143" s="11"/>
      <c r="BF143" s="11">
        <v>13.17</v>
      </c>
      <c r="BG143" s="11">
        <v>0.95</v>
      </c>
      <c r="BH143" s="11"/>
      <c r="BI143" s="7" t="s">
        <v>519</v>
      </c>
      <c r="BJ143" s="8">
        <v>2</v>
      </c>
      <c r="BK143" s="5" t="str">
        <f t="shared" si="124"/>
        <v>Control_greater_than_case</v>
      </c>
      <c r="BP143" s="7" t="s">
        <v>239</v>
      </c>
      <c r="BQ143" s="8">
        <v>15</v>
      </c>
      <c r="BR143" s="7" t="s">
        <v>262</v>
      </c>
      <c r="BV143" s="8">
        <v>54</v>
      </c>
      <c r="BW143" s="8">
        <v>6</v>
      </c>
      <c r="CG143" s="7" t="s">
        <v>239</v>
      </c>
      <c r="CH143" s="7" t="s">
        <v>239</v>
      </c>
      <c r="CJ143" s="7" t="s">
        <v>239</v>
      </c>
      <c r="CK143" s="7" t="s">
        <v>248</v>
      </c>
      <c r="CL143" s="8">
        <v>44</v>
      </c>
      <c r="CM143" s="8">
        <v>24</v>
      </c>
      <c r="CN143" s="7" t="s">
        <v>520</v>
      </c>
      <c r="CO143" s="44" t="s">
        <v>825</v>
      </c>
      <c r="CP143" s="44"/>
      <c r="CQ143" s="5" t="s">
        <v>516</v>
      </c>
      <c r="CS143" s="7"/>
      <c r="CT143" s="7"/>
      <c r="CU143" s="7"/>
      <c r="CV143" s="7"/>
      <c r="CW143" s="7"/>
      <c r="CX143" s="7"/>
      <c r="CY143" s="42"/>
      <c r="CZ143" s="42"/>
      <c r="DA143" s="7"/>
      <c r="DB143" s="11" t="str">
        <f t="shared" si="89"/>
        <v/>
      </c>
      <c r="DD143" s="11" t="str">
        <f t="shared" si="126"/>
        <v/>
      </c>
      <c r="DE143" s="28" t="str">
        <f t="shared" si="127"/>
        <v/>
      </c>
      <c r="DG143" s="8">
        <f t="shared" si="128"/>
        <v>68</v>
      </c>
      <c r="DH143" s="7"/>
      <c r="DI143" s="11">
        <f>100-DJ143</f>
        <v>27.659574468085097</v>
      </c>
      <c r="DJ143" s="11">
        <f>(10+5+2+2+1+1+7+4+1+1)/47*100</f>
        <v>72.340425531914903</v>
      </c>
      <c r="DK143" s="7"/>
      <c r="DM143" s="7"/>
      <c r="DN143" s="7"/>
      <c r="DO143" s="7"/>
      <c r="DP143" s="7"/>
      <c r="DQ143" s="7"/>
      <c r="DR143" s="7"/>
      <c r="JU143" s="7" t="s">
        <v>252</v>
      </c>
    </row>
    <row r="144" spans="1:281" s="8" customFormat="1" ht="20" customHeight="1" x14ac:dyDescent="0.2">
      <c r="A144" s="35">
        <v>32</v>
      </c>
      <c r="B144" s="7" t="s">
        <v>764</v>
      </c>
      <c r="C144" s="7" t="s">
        <v>514</v>
      </c>
      <c r="D144" s="7" t="s">
        <v>231</v>
      </c>
      <c r="E144" s="8">
        <v>30</v>
      </c>
      <c r="F144" s="8" t="s">
        <v>237</v>
      </c>
      <c r="G144" s="7" t="s">
        <v>237</v>
      </c>
      <c r="H144" s="7">
        <v>34318959</v>
      </c>
      <c r="I144" s="7"/>
      <c r="J144" s="7" t="s">
        <v>512</v>
      </c>
      <c r="K144" s="8">
        <v>2021</v>
      </c>
      <c r="L144" s="12" t="s">
        <v>513</v>
      </c>
      <c r="N144" s="7" t="s">
        <v>234</v>
      </c>
      <c r="O144" s="7" t="s">
        <v>515</v>
      </c>
      <c r="P144" s="36" t="s">
        <v>817</v>
      </c>
      <c r="Q144" s="36" t="s">
        <v>817</v>
      </c>
      <c r="R144" s="36"/>
      <c r="S144" s="36"/>
      <c r="T144" s="36"/>
      <c r="U144" s="36"/>
      <c r="V144" s="7" t="s">
        <v>367</v>
      </c>
      <c r="W144" s="7" t="s">
        <v>239</v>
      </c>
      <c r="X144" s="7" t="s">
        <v>323</v>
      </c>
      <c r="Y144" s="7" t="s">
        <v>323</v>
      </c>
      <c r="Z144" s="7" t="s">
        <v>239</v>
      </c>
      <c r="AA144" s="8">
        <v>4096</v>
      </c>
      <c r="AB144" s="7" t="s">
        <v>237</v>
      </c>
      <c r="AC144" s="7" t="s">
        <v>936</v>
      </c>
      <c r="AD144" s="7" t="s">
        <v>239</v>
      </c>
      <c r="AE144" s="7" t="s">
        <v>874</v>
      </c>
      <c r="AF144" s="7" t="s">
        <v>239</v>
      </c>
      <c r="AG144" s="7" t="s">
        <v>237</v>
      </c>
      <c r="AH144" s="7" t="s">
        <v>239</v>
      </c>
      <c r="AI144" s="8">
        <v>10</v>
      </c>
      <c r="AK144" s="7" t="s">
        <v>239</v>
      </c>
      <c r="AL144" s="8">
        <v>3000</v>
      </c>
      <c r="AM144" s="7" t="s">
        <v>259</v>
      </c>
      <c r="AN144" s="7" t="s">
        <v>260</v>
      </c>
      <c r="AO144" s="7"/>
      <c r="AP144" s="7"/>
      <c r="AQ144" s="7"/>
      <c r="AR144" s="8">
        <v>64</v>
      </c>
      <c r="AS144" s="41"/>
      <c r="AT144" s="41"/>
      <c r="AU144" s="41">
        <v>3.2</v>
      </c>
      <c r="AV144" s="41">
        <v>0.5</v>
      </c>
      <c r="AW144" s="7">
        <v>20</v>
      </c>
      <c r="AX144" s="7" t="s">
        <v>391</v>
      </c>
      <c r="AY144" s="7" t="s">
        <v>245</v>
      </c>
      <c r="BB144" s="7" t="s">
        <v>246</v>
      </c>
      <c r="BC144" s="11">
        <v>4.75</v>
      </c>
      <c r="BD144" s="11">
        <v>0.51</v>
      </c>
      <c r="BE144" s="11"/>
      <c r="BF144" s="11">
        <v>4.84</v>
      </c>
      <c r="BG144" s="11">
        <v>0.42</v>
      </c>
      <c r="BH144" s="11"/>
      <c r="BI144" s="7" t="s">
        <v>297</v>
      </c>
      <c r="BJ144" s="8">
        <v>2</v>
      </c>
      <c r="BK144" s="5" t="str">
        <f t="shared" si="124"/>
        <v>Control_greater_than_case</v>
      </c>
      <c r="BP144" s="7" t="s">
        <v>239</v>
      </c>
      <c r="BQ144" s="8">
        <v>15</v>
      </c>
      <c r="BR144" s="7" t="s">
        <v>262</v>
      </c>
      <c r="BV144" s="8">
        <v>54</v>
      </c>
      <c r="BW144" s="8">
        <v>6</v>
      </c>
      <c r="CG144" s="7" t="s">
        <v>239</v>
      </c>
      <c r="CH144" s="7" t="s">
        <v>239</v>
      </c>
      <c r="CJ144" s="7" t="s">
        <v>239</v>
      </c>
      <c r="CK144" s="7" t="s">
        <v>248</v>
      </c>
      <c r="CL144" s="8">
        <v>44</v>
      </c>
      <c r="CM144" s="8">
        <v>24</v>
      </c>
      <c r="CN144" s="7" t="s">
        <v>520</v>
      </c>
      <c r="CO144" s="44" t="s">
        <v>825</v>
      </c>
      <c r="CP144" s="44"/>
      <c r="CQ144" s="5" t="s">
        <v>516</v>
      </c>
      <c r="CS144" s="7"/>
      <c r="CT144" s="7"/>
      <c r="CU144" s="7"/>
      <c r="CV144" s="7"/>
      <c r="CW144" s="7"/>
      <c r="CX144" s="7"/>
      <c r="CY144" s="42"/>
      <c r="CZ144" s="42"/>
      <c r="DA144" s="7"/>
      <c r="DB144" s="11" t="str">
        <f t="shared" si="89"/>
        <v/>
      </c>
      <c r="DD144" s="11" t="str">
        <f t="shared" si="126"/>
        <v/>
      </c>
      <c r="DE144" s="28" t="str">
        <f t="shared" si="127"/>
        <v/>
      </c>
      <c r="DG144" s="8">
        <f t="shared" si="128"/>
        <v>68</v>
      </c>
      <c r="DH144" s="7"/>
      <c r="DI144" s="11">
        <f t="shared" ref="DI144:DI145" si="131">100-DJ144</f>
        <v>27.659574468085097</v>
      </c>
      <c r="DJ144" s="11">
        <f t="shared" ref="DJ144:DJ145" si="132">(10+5+2+2+1+1+7+4+1+1)/47*100</f>
        <v>72.340425531914903</v>
      </c>
      <c r="DK144" s="7"/>
      <c r="DM144" s="7"/>
      <c r="DN144" s="7"/>
      <c r="DO144" s="7"/>
      <c r="DP144" s="7"/>
      <c r="DQ144" s="7"/>
      <c r="DR144" s="7"/>
      <c r="JU144" s="7" t="s">
        <v>252</v>
      </c>
    </row>
    <row r="145" spans="1:281" s="64" customFormat="1" ht="20" customHeight="1" x14ac:dyDescent="0.2">
      <c r="A145" s="106">
        <v>32</v>
      </c>
      <c r="B145" s="71" t="s">
        <v>766</v>
      </c>
      <c r="C145" s="71" t="s">
        <v>514</v>
      </c>
      <c r="D145" s="71" t="s">
        <v>231</v>
      </c>
      <c r="E145" s="64">
        <v>30</v>
      </c>
      <c r="F145" s="64" t="s">
        <v>237</v>
      </c>
      <c r="G145" s="71" t="s">
        <v>237</v>
      </c>
      <c r="H145" s="71">
        <v>34318959</v>
      </c>
      <c r="I145" s="71"/>
      <c r="J145" s="71" t="s">
        <v>512</v>
      </c>
      <c r="K145" s="64">
        <v>2021</v>
      </c>
      <c r="L145" s="124" t="s">
        <v>513</v>
      </c>
      <c r="N145" s="71" t="s">
        <v>234</v>
      </c>
      <c r="O145" s="71" t="s">
        <v>515</v>
      </c>
      <c r="P145" s="108" t="s">
        <v>817</v>
      </c>
      <c r="Q145" s="108" t="s">
        <v>817</v>
      </c>
      <c r="R145" s="108"/>
      <c r="S145" s="108"/>
      <c r="T145" s="108"/>
      <c r="U145" s="108"/>
      <c r="V145" s="71" t="s">
        <v>367</v>
      </c>
      <c r="W145" s="71" t="s">
        <v>239</v>
      </c>
      <c r="X145" s="71" t="s">
        <v>323</v>
      </c>
      <c r="Y145" s="71" t="s">
        <v>323</v>
      </c>
      <c r="Z145" s="71" t="s">
        <v>239</v>
      </c>
      <c r="AA145" s="64">
        <v>4096</v>
      </c>
      <c r="AB145" s="71" t="s">
        <v>237</v>
      </c>
      <c r="AC145" s="71" t="s">
        <v>936</v>
      </c>
      <c r="AD145" s="71" t="s">
        <v>239</v>
      </c>
      <c r="AE145" s="71" t="s">
        <v>874</v>
      </c>
      <c r="AF145" s="71" t="s">
        <v>239</v>
      </c>
      <c r="AG145" s="71" t="s">
        <v>237</v>
      </c>
      <c r="AH145" s="71" t="s">
        <v>239</v>
      </c>
      <c r="AI145" s="64">
        <v>10</v>
      </c>
      <c r="AK145" s="71" t="s">
        <v>239</v>
      </c>
      <c r="AL145" s="64">
        <v>3000</v>
      </c>
      <c r="AM145" s="71" t="s">
        <v>259</v>
      </c>
      <c r="AN145" s="71" t="s">
        <v>260</v>
      </c>
      <c r="AO145" s="71"/>
      <c r="AP145" s="71"/>
      <c r="AQ145" s="71"/>
      <c r="AR145" s="64">
        <v>64</v>
      </c>
      <c r="AS145" s="115"/>
      <c r="AT145" s="115"/>
      <c r="AU145" s="115"/>
      <c r="AV145" s="115"/>
      <c r="AW145" s="71">
        <v>20</v>
      </c>
      <c r="AX145" s="71" t="s">
        <v>244</v>
      </c>
      <c r="AY145" s="71" t="s">
        <v>245</v>
      </c>
      <c r="BB145" s="71" t="s">
        <v>246</v>
      </c>
      <c r="BC145" s="65">
        <v>16.170000000000002</v>
      </c>
      <c r="BD145" s="65">
        <v>1.42</v>
      </c>
      <c r="BE145" s="65"/>
      <c r="BF145" s="65">
        <v>16.89</v>
      </c>
      <c r="BG145" s="65">
        <v>1.0900000000000001</v>
      </c>
      <c r="BH145" s="65"/>
      <c r="BI145" s="71" t="s">
        <v>465</v>
      </c>
      <c r="BJ145" s="64">
        <v>2</v>
      </c>
      <c r="BK145" s="73" t="str">
        <f t="shared" si="124"/>
        <v>Control_greater_than_case</v>
      </c>
      <c r="BP145" s="71" t="s">
        <v>239</v>
      </c>
      <c r="BQ145" s="64">
        <v>15</v>
      </c>
      <c r="BR145" s="71" t="s">
        <v>262</v>
      </c>
      <c r="BV145" s="64">
        <v>54</v>
      </c>
      <c r="BW145" s="64">
        <v>6</v>
      </c>
      <c r="CG145" s="71" t="s">
        <v>239</v>
      </c>
      <c r="CH145" s="71" t="s">
        <v>239</v>
      </c>
      <c r="CJ145" s="71" t="s">
        <v>239</v>
      </c>
      <c r="CK145" s="71" t="s">
        <v>248</v>
      </c>
      <c r="CL145" s="64">
        <v>44</v>
      </c>
      <c r="CM145" s="64">
        <v>24</v>
      </c>
      <c r="CN145" s="71" t="s">
        <v>520</v>
      </c>
      <c r="CO145" s="113" t="s">
        <v>825</v>
      </c>
      <c r="CP145" s="113"/>
      <c r="CQ145" s="73" t="s">
        <v>516</v>
      </c>
      <c r="CS145" s="71"/>
      <c r="CT145" s="71"/>
      <c r="CU145" s="71"/>
      <c r="CV145" s="71"/>
      <c r="CW145" s="71"/>
      <c r="CX145" s="71"/>
      <c r="CY145" s="116"/>
      <c r="CZ145" s="116"/>
      <c r="DA145" s="71"/>
      <c r="DB145" s="65" t="str">
        <f t="shared" si="89"/>
        <v/>
      </c>
      <c r="DD145" s="65" t="str">
        <f t="shared" si="126"/>
        <v/>
      </c>
      <c r="DE145" s="80" t="str">
        <f t="shared" si="127"/>
        <v/>
      </c>
      <c r="DG145" s="64">
        <f t="shared" si="128"/>
        <v>68</v>
      </c>
      <c r="DH145" s="71"/>
      <c r="DI145" s="65">
        <f t="shared" si="131"/>
        <v>27.659574468085097</v>
      </c>
      <c r="DJ145" s="65">
        <f t="shared" si="132"/>
        <v>72.340425531914903</v>
      </c>
      <c r="DK145" s="71"/>
      <c r="DM145" s="71"/>
      <c r="DN145" s="71"/>
      <c r="DO145" s="71"/>
      <c r="DP145" s="71"/>
      <c r="DQ145" s="71"/>
      <c r="DR145" s="71"/>
      <c r="JU145" s="71" t="s">
        <v>252</v>
      </c>
    </row>
    <row r="146" spans="1:281" s="97" customFormat="1" ht="20" customHeight="1" x14ac:dyDescent="0.2">
      <c r="A146" s="95"/>
      <c r="L146" s="148"/>
      <c r="P146" s="99"/>
      <c r="Q146" s="99"/>
      <c r="R146" s="99"/>
      <c r="S146" s="99"/>
      <c r="T146" s="99"/>
      <c r="U146" s="99"/>
    </row>
    <row r="147" spans="1:281" s="85" customFormat="1" ht="20" customHeight="1" x14ac:dyDescent="0.2">
      <c r="A147" s="83">
        <v>21</v>
      </c>
      <c r="B147" s="84" t="s">
        <v>649</v>
      </c>
      <c r="C147" s="84" t="s">
        <v>521</v>
      </c>
      <c r="D147" s="84" t="s">
        <v>231</v>
      </c>
      <c r="E147" s="85">
        <v>32</v>
      </c>
      <c r="F147" s="85" t="s">
        <v>239</v>
      </c>
      <c r="G147" s="84" t="s">
        <v>237</v>
      </c>
      <c r="H147" s="84">
        <v>23613944</v>
      </c>
      <c r="I147" s="84" t="s">
        <v>981</v>
      </c>
      <c r="J147" s="84" t="s">
        <v>522</v>
      </c>
      <c r="K147" s="85">
        <v>2013</v>
      </c>
      <c r="L147" s="119" t="s">
        <v>523</v>
      </c>
      <c r="N147" s="84" t="s">
        <v>234</v>
      </c>
      <c r="O147" s="84" t="s">
        <v>247</v>
      </c>
      <c r="P147" s="87" t="s">
        <v>821</v>
      </c>
      <c r="Q147" s="87"/>
      <c r="R147" s="87"/>
      <c r="S147" s="87"/>
      <c r="T147" s="87"/>
      <c r="U147" s="87"/>
      <c r="V147" s="84" t="s">
        <v>312</v>
      </c>
      <c r="W147" s="84" t="s">
        <v>237</v>
      </c>
      <c r="X147" s="84" t="s">
        <v>284</v>
      </c>
      <c r="Y147" s="84" t="s">
        <v>828</v>
      </c>
      <c r="Z147" s="84" t="s">
        <v>237</v>
      </c>
      <c r="AB147" s="84" t="s">
        <v>237</v>
      </c>
      <c r="AC147" s="84" t="s">
        <v>937</v>
      </c>
      <c r="AD147" s="84" t="s">
        <v>239</v>
      </c>
      <c r="AE147" s="84" t="s">
        <v>469</v>
      </c>
      <c r="AF147" s="84" t="s">
        <v>239</v>
      </c>
      <c r="AG147" s="84" t="s">
        <v>237</v>
      </c>
      <c r="AH147" s="84" t="s">
        <v>239</v>
      </c>
      <c r="AI147" s="85">
        <v>30</v>
      </c>
      <c r="AK147" s="84" t="s">
        <v>239</v>
      </c>
      <c r="AL147" s="85">
        <v>3000</v>
      </c>
      <c r="AM147" s="84" t="s">
        <v>259</v>
      </c>
      <c r="AN147" s="105">
        <v>3030</v>
      </c>
      <c r="AO147" s="88">
        <f>SUM(2.3+(2*3.1)+3.6)/4</f>
        <v>3.0249999999999999</v>
      </c>
      <c r="AP147" s="88" t="s">
        <v>893</v>
      </c>
      <c r="AQ147" s="88"/>
      <c r="AR147" s="85">
        <v>128</v>
      </c>
      <c r="AS147" s="84"/>
      <c r="AT147" s="84"/>
      <c r="AU147" s="84"/>
      <c r="AV147" s="84"/>
      <c r="AX147" s="84" t="s">
        <v>244</v>
      </c>
      <c r="AY147" s="84" t="s">
        <v>245</v>
      </c>
      <c r="BB147" s="84" t="s">
        <v>459</v>
      </c>
      <c r="BC147" s="88">
        <v>8.1199999999999992</v>
      </c>
      <c r="BD147" s="88"/>
      <c r="BE147" s="88"/>
      <c r="BF147" s="88">
        <v>6.75</v>
      </c>
      <c r="BG147" s="88"/>
      <c r="BH147" s="88"/>
      <c r="BI147" s="84" t="s">
        <v>524</v>
      </c>
      <c r="BJ147" s="85">
        <v>2</v>
      </c>
      <c r="BK147" s="89" t="str">
        <f t="shared" ref="BK147:BK154" si="133">IF(AND(BC147&lt;&gt;"",BF147&lt;&gt;""),IF(BC147&gt;BF147,"Case_greater_than_control","Control_greater_than_case"),"")</f>
        <v>Case_greater_than_control</v>
      </c>
      <c r="BP147" s="84" t="s">
        <v>240</v>
      </c>
      <c r="BR147" s="84" t="s">
        <v>247</v>
      </c>
      <c r="BS147" s="84" t="s">
        <v>235</v>
      </c>
      <c r="CG147" s="84" t="s">
        <v>239</v>
      </c>
      <c r="CH147" s="84" t="s">
        <v>237</v>
      </c>
      <c r="CJ147" s="84" t="s">
        <v>239</v>
      </c>
      <c r="CK147" s="84" t="s">
        <v>248</v>
      </c>
      <c r="CL147" s="85">
        <v>15</v>
      </c>
      <c r="CM147" s="85">
        <v>20</v>
      </c>
      <c r="CN147" s="84" t="s">
        <v>525</v>
      </c>
      <c r="CO147" s="120" t="s">
        <v>825</v>
      </c>
      <c r="CP147" s="120"/>
      <c r="CQ147" s="84" t="s">
        <v>526</v>
      </c>
      <c r="CS147" s="85">
        <f>(2+2*16+44)/4</f>
        <v>19.5</v>
      </c>
      <c r="CT147" s="85">
        <f>SQRT(((2-2*16+44)^2)/4 + (44-2)^2/12)</f>
        <v>14</v>
      </c>
      <c r="CU147" s="85">
        <f>(32+2*57+69)/4</f>
        <v>53.75</v>
      </c>
      <c r="CV147" s="88">
        <f>SQRT(((32-2*57+69)^2)/4 + (69-32)^2/12)</f>
        <v>12.503332889007368</v>
      </c>
      <c r="CW147" s="85">
        <f>(27+2*48+72)/4</f>
        <v>48.75</v>
      </c>
      <c r="CX147" s="88">
        <f>SQRT(((27-2*48+72)^2)/4 + (72-27)^2/12)</f>
        <v>13.076696830622021</v>
      </c>
      <c r="CY147" s="104">
        <f t="shared" si="97"/>
        <v>50.892857142857146</v>
      </c>
      <c r="CZ147" s="104">
        <f t="shared" ref="CZ147:CZ154" si="134">IF(OR(CY147="",CV147="",CX147=""),"",SQRT(((CL147-1)*(CV147^2) + (CM147-1)*(CX147^2) + CL147*(CU147-CY147)^2 + CM147*(CW147-CY147)^2) / (CL147+CM147-1)))</f>
        <v>12.893172362045849</v>
      </c>
      <c r="DA147" s="85">
        <v>14</v>
      </c>
      <c r="DB147" s="105">
        <f t="shared" ref="DB147:DB186" si="135">IF(DA147="","",(DA147/CL147)*100)</f>
        <v>93.333333333333329</v>
      </c>
      <c r="DC147" s="85">
        <v>15</v>
      </c>
      <c r="DD147" s="105">
        <f t="shared" ref="DD147:DD154" si="136">IF(DC147="","",(DC147/CM147)*100)</f>
        <v>75</v>
      </c>
      <c r="DE147" s="93">
        <f t="shared" ref="DE147:DE154" si="137">IF(AND(DA147&lt;&gt;"",DC147&lt;&gt;""),(DA147+DC147)/(CL147+CM147)*100,
   IF(AND(DB147&lt;&gt;"",DD147&lt;&gt;""),(DB147*CL147 + DD147*CM147)/(CL147+CM147),
   ""))</f>
        <v>82.857142857142861</v>
      </c>
      <c r="DG147" s="85">
        <f t="shared" ref="DG147:DG154" si="138">SUM(CL147,CM147)</f>
        <v>35</v>
      </c>
      <c r="DH147" s="84" t="s">
        <v>240</v>
      </c>
      <c r="DO147" s="84" t="s">
        <v>239</v>
      </c>
      <c r="DP147" s="84">
        <v>2.5</v>
      </c>
      <c r="DQ147" s="84">
        <v>0</v>
      </c>
      <c r="DR147" s="84">
        <v>6.5</v>
      </c>
      <c r="DS147" s="103">
        <f t="shared" ref="DS147:DS182" si="139">(DQ147 + 2*DP147+DR147)/4</f>
        <v>2.875</v>
      </c>
      <c r="DT147" s="103">
        <f t="shared" ref="DT147:DT182" si="140">SQRT(((DQ147-2*DP147+DR147)^2)/4 + (DR147-DQ147)^2/12)</f>
        <v>2.0207259421636903</v>
      </c>
      <c r="JU147" s="84" t="s">
        <v>252</v>
      </c>
    </row>
    <row r="148" spans="1:281" s="8" customFormat="1" ht="20" customHeight="1" x14ac:dyDescent="0.2">
      <c r="A148" s="35">
        <v>21</v>
      </c>
      <c r="B148" s="7" t="s">
        <v>651</v>
      </c>
      <c r="C148" s="7" t="s">
        <v>521</v>
      </c>
      <c r="D148" s="7" t="s">
        <v>231</v>
      </c>
      <c r="E148" s="8">
        <v>32</v>
      </c>
      <c r="F148" s="8" t="s">
        <v>237</v>
      </c>
      <c r="G148" s="7" t="s">
        <v>237</v>
      </c>
      <c r="H148" s="7">
        <v>23613944</v>
      </c>
      <c r="I148" s="7" t="s">
        <v>982</v>
      </c>
      <c r="J148" s="7" t="s">
        <v>522</v>
      </c>
      <c r="K148" s="8">
        <v>2013</v>
      </c>
      <c r="L148" s="12" t="s">
        <v>523</v>
      </c>
      <c r="N148" s="7" t="s">
        <v>234</v>
      </c>
      <c r="O148" s="7" t="s">
        <v>247</v>
      </c>
      <c r="P148" s="36" t="s">
        <v>821</v>
      </c>
      <c r="Q148" s="36"/>
      <c r="R148" s="36"/>
      <c r="S148" s="36"/>
      <c r="T148" s="36"/>
      <c r="U148" s="36"/>
      <c r="V148" s="7" t="s">
        <v>312</v>
      </c>
      <c r="W148" s="7" t="s">
        <v>237</v>
      </c>
      <c r="X148" s="7" t="s">
        <v>284</v>
      </c>
      <c r="Y148" s="7" t="s">
        <v>828</v>
      </c>
      <c r="Z148" s="7" t="s">
        <v>237</v>
      </c>
      <c r="AB148" s="7" t="s">
        <v>237</v>
      </c>
      <c r="AC148" s="7" t="s">
        <v>937</v>
      </c>
      <c r="AD148" s="7" t="s">
        <v>239</v>
      </c>
      <c r="AE148" s="7" t="s">
        <v>469</v>
      </c>
      <c r="AF148" s="7" t="s">
        <v>239</v>
      </c>
      <c r="AG148" s="7" t="s">
        <v>237</v>
      </c>
      <c r="AH148" s="7" t="s">
        <v>239</v>
      </c>
      <c r="AI148" s="8">
        <v>30</v>
      </c>
      <c r="AK148" s="7" t="s">
        <v>239</v>
      </c>
      <c r="AL148" s="8">
        <v>3000</v>
      </c>
      <c r="AM148" s="7" t="s">
        <v>259</v>
      </c>
      <c r="AN148" s="43">
        <v>3030</v>
      </c>
      <c r="AO148" s="11">
        <f>SUM(2.3+(2*3.1)+3.6)/4</f>
        <v>3.0249999999999999</v>
      </c>
      <c r="AP148" s="11" t="s">
        <v>893</v>
      </c>
      <c r="AQ148" s="11"/>
      <c r="AR148" s="8">
        <v>128</v>
      </c>
      <c r="AS148" s="7"/>
      <c r="AT148" s="7"/>
      <c r="AU148" s="7"/>
      <c r="AV148" s="7"/>
      <c r="AX148" s="7" t="s">
        <v>244</v>
      </c>
      <c r="AY148" s="7" t="s">
        <v>277</v>
      </c>
      <c r="BA148" s="7" t="s">
        <v>527</v>
      </c>
      <c r="BB148" s="7" t="s">
        <v>459</v>
      </c>
      <c r="BC148" s="11">
        <v>12.16</v>
      </c>
      <c r="BD148" s="11"/>
      <c r="BE148" s="11"/>
      <c r="BF148" s="11">
        <v>10.15</v>
      </c>
      <c r="BG148" s="11"/>
      <c r="BH148" s="11"/>
      <c r="BI148" s="7" t="s">
        <v>524</v>
      </c>
      <c r="BJ148" s="8">
        <v>2</v>
      </c>
      <c r="BK148" s="5" t="str">
        <f t="shared" si="133"/>
        <v>Case_greater_than_control</v>
      </c>
      <c r="BP148" s="7" t="s">
        <v>240</v>
      </c>
      <c r="BR148" s="7" t="s">
        <v>247</v>
      </c>
      <c r="BS148" s="7" t="s">
        <v>235</v>
      </c>
      <c r="CG148" s="7" t="s">
        <v>239</v>
      </c>
      <c r="CH148" s="7" t="s">
        <v>237</v>
      </c>
      <c r="CJ148" s="7" t="s">
        <v>239</v>
      </c>
      <c r="CK148" s="7" t="s">
        <v>248</v>
      </c>
      <c r="CL148" s="8">
        <v>15</v>
      </c>
      <c r="CM148" s="8">
        <v>20</v>
      </c>
      <c r="CN148" s="7" t="s">
        <v>525</v>
      </c>
      <c r="CO148" s="44" t="s">
        <v>825</v>
      </c>
      <c r="CP148" s="44"/>
      <c r="CQ148" s="7" t="s">
        <v>526</v>
      </c>
      <c r="CS148" s="8">
        <f t="shared" ref="CS148:CS150" si="141">(2+2*16+44)/4</f>
        <v>19.5</v>
      </c>
      <c r="CT148" s="8">
        <f t="shared" ref="CT148:CT150" si="142">SQRT(((2-2*16+44)^2)/4 + (44-2)^2/12)</f>
        <v>14</v>
      </c>
      <c r="CU148" s="8">
        <f t="shared" ref="CU148:CU150" si="143">(32+2*57+69)/4</f>
        <v>53.75</v>
      </c>
      <c r="CV148" s="11">
        <f t="shared" ref="CV148:CV150" si="144">SQRT(((32-2*57+69)^2)/4 + (69-32)^2/12)</f>
        <v>12.503332889007368</v>
      </c>
      <c r="CW148" s="8">
        <f t="shared" ref="CW148:CW154" si="145">(27+2*48+72)/4</f>
        <v>48.75</v>
      </c>
      <c r="CX148" s="11">
        <f t="shared" ref="CX148:CX154" si="146">SQRT(((27-2*48+72)^2)/4 + (72-27)^2/12)</f>
        <v>13.076696830622021</v>
      </c>
      <c r="CY148" s="42">
        <f t="shared" si="97"/>
        <v>50.892857142857146</v>
      </c>
      <c r="CZ148" s="42">
        <f t="shared" si="134"/>
        <v>12.893172362045849</v>
      </c>
      <c r="DA148" s="8">
        <v>14</v>
      </c>
      <c r="DB148" s="43">
        <f t="shared" si="135"/>
        <v>93.333333333333329</v>
      </c>
      <c r="DC148" s="8">
        <v>15</v>
      </c>
      <c r="DD148" s="43">
        <f t="shared" si="136"/>
        <v>75</v>
      </c>
      <c r="DE148" s="28">
        <f t="shared" si="137"/>
        <v>82.857142857142861</v>
      </c>
      <c r="DG148" s="8">
        <f t="shared" si="138"/>
        <v>35</v>
      </c>
      <c r="DH148" s="7" t="s">
        <v>240</v>
      </c>
      <c r="DO148" s="7" t="s">
        <v>239</v>
      </c>
      <c r="DP148" s="7">
        <v>2.5</v>
      </c>
      <c r="DQ148" s="7">
        <v>0</v>
      </c>
      <c r="DR148" s="7">
        <v>6.5</v>
      </c>
      <c r="DS148" s="41">
        <f t="shared" si="139"/>
        <v>2.875</v>
      </c>
      <c r="DT148" s="41">
        <f t="shared" si="140"/>
        <v>2.0207259421636903</v>
      </c>
      <c r="JU148" s="7" t="s">
        <v>252</v>
      </c>
    </row>
    <row r="149" spans="1:281" s="8" customFormat="1" ht="20" customHeight="1" x14ac:dyDescent="0.2">
      <c r="A149" s="35">
        <v>21</v>
      </c>
      <c r="B149" s="7" t="s">
        <v>652</v>
      </c>
      <c r="C149" s="7" t="s">
        <v>521</v>
      </c>
      <c r="D149" s="7" t="s">
        <v>231</v>
      </c>
      <c r="E149" s="8">
        <v>32</v>
      </c>
      <c r="F149" s="8" t="s">
        <v>239</v>
      </c>
      <c r="G149" s="7" t="s">
        <v>237</v>
      </c>
      <c r="H149" s="7">
        <v>23613944</v>
      </c>
      <c r="I149" s="7" t="s">
        <v>983</v>
      </c>
      <c r="J149" s="7" t="s">
        <v>522</v>
      </c>
      <c r="K149" s="8">
        <v>2013</v>
      </c>
      <c r="L149" s="12" t="s">
        <v>523</v>
      </c>
      <c r="N149" s="7" t="s">
        <v>295</v>
      </c>
      <c r="O149" s="7" t="s">
        <v>358</v>
      </c>
      <c r="P149" s="36" t="s">
        <v>822</v>
      </c>
      <c r="Q149" s="36"/>
      <c r="R149" s="36" t="s">
        <v>358</v>
      </c>
      <c r="S149" s="36"/>
      <c r="T149" s="36" t="s">
        <v>358</v>
      </c>
      <c r="U149" s="36"/>
      <c r="V149" s="7" t="s">
        <v>312</v>
      </c>
      <c r="W149" s="7" t="s">
        <v>237</v>
      </c>
      <c r="X149" s="7" t="s">
        <v>284</v>
      </c>
      <c r="Y149" s="7" t="s">
        <v>828</v>
      </c>
      <c r="Z149" s="7" t="s">
        <v>237</v>
      </c>
      <c r="AB149" s="7" t="s">
        <v>237</v>
      </c>
      <c r="AC149" s="7" t="s">
        <v>938</v>
      </c>
      <c r="AD149" s="7" t="s">
        <v>239</v>
      </c>
      <c r="AE149" s="7" t="s">
        <v>469</v>
      </c>
      <c r="AF149" s="7" t="s">
        <v>239</v>
      </c>
      <c r="AG149" s="7" t="s">
        <v>237</v>
      </c>
      <c r="AH149" s="7" t="s">
        <v>239</v>
      </c>
      <c r="AI149" s="8">
        <v>30</v>
      </c>
      <c r="AK149" s="7" t="s">
        <v>239</v>
      </c>
      <c r="AL149" s="8">
        <v>3000</v>
      </c>
      <c r="AM149" s="7" t="s">
        <v>259</v>
      </c>
      <c r="AN149" s="43">
        <v>2430</v>
      </c>
      <c r="AO149" s="11">
        <f>SUM(2+(2.4*2)+2.9)/4</f>
        <v>2.4249999999999998</v>
      </c>
      <c r="AP149" s="11" t="s">
        <v>893</v>
      </c>
      <c r="AQ149" s="11"/>
      <c r="AR149" s="8">
        <v>128</v>
      </c>
      <c r="AS149" s="7"/>
      <c r="AT149" s="7"/>
      <c r="AU149" s="7"/>
      <c r="AV149" s="7"/>
      <c r="AX149" s="7" t="s">
        <v>244</v>
      </c>
      <c r="AY149" s="7" t="s">
        <v>245</v>
      </c>
      <c r="BB149" s="7" t="s">
        <v>459</v>
      </c>
      <c r="BC149" s="11">
        <v>10.06</v>
      </c>
      <c r="BD149" s="11"/>
      <c r="BE149" s="11"/>
      <c r="BF149" s="11">
        <v>10.62</v>
      </c>
      <c r="BG149" s="11"/>
      <c r="BH149" s="11"/>
      <c r="BI149" s="7" t="s">
        <v>528</v>
      </c>
      <c r="BJ149" s="8">
        <v>2</v>
      </c>
      <c r="BK149" s="5" t="str">
        <f t="shared" si="133"/>
        <v>Control_greater_than_case</v>
      </c>
      <c r="BP149" s="7" t="s">
        <v>240</v>
      </c>
      <c r="BR149" s="7" t="s">
        <v>262</v>
      </c>
      <c r="CG149" s="7" t="s">
        <v>239</v>
      </c>
      <c r="CH149" s="7" t="s">
        <v>237</v>
      </c>
      <c r="CJ149" s="7" t="s">
        <v>239</v>
      </c>
      <c r="CK149" s="7" t="s">
        <v>248</v>
      </c>
      <c r="CL149" s="8">
        <v>15</v>
      </c>
      <c r="CM149" s="8">
        <v>20</v>
      </c>
      <c r="CN149" s="7" t="s">
        <v>525</v>
      </c>
      <c r="CO149" s="44" t="s">
        <v>825</v>
      </c>
      <c r="CP149" s="44"/>
      <c r="CQ149" s="7" t="s">
        <v>526</v>
      </c>
      <c r="CS149" s="8">
        <f t="shared" si="141"/>
        <v>19.5</v>
      </c>
      <c r="CT149" s="8">
        <f t="shared" si="142"/>
        <v>14</v>
      </c>
      <c r="CU149" s="8">
        <f t="shared" si="143"/>
        <v>53.75</v>
      </c>
      <c r="CV149" s="11">
        <f t="shared" si="144"/>
        <v>12.503332889007368</v>
      </c>
      <c r="CW149" s="8">
        <f t="shared" si="145"/>
        <v>48.75</v>
      </c>
      <c r="CX149" s="11">
        <f t="shared" si="146"/>
        <v>13.076696830622021</v>
      </c>
      <c r="CY149" s="42">
        <f t="shared" si="97"/>
        <v>50.892857142857146</v>
      </c>
      <c r="CZ149" s="42">
        <f t="shared" si="134"/>
        <v>12.893172362045849</v>
      </c>
      <c r="DA149" s="8">
        <v>14</v>
      </c>
      <c r="DB149" s="43">
        <f t="shared" si="135"/>
        <v>93.333333333333329</v>
      </c>
      <c r="DC149" s="8">
        <v>15</v>
      </c>
      <c r="DD149" s="43">
        <f t="shared" si="136"/>
        <v>75</v>
      </c>
      <c r="DE149" s="28">
        <f t="shared" si="137"/>
        <v>82.857142857142861</v>
      </c>
      <c r="DG149" s="8">
        <f t="shared" si="138"/>
        <v>35</v>
      </c>
      <c r="DH149" s="7" t="s">
        <v>240</v>
      </c>
      <c r="DO149" s="7" t="s">
        <v>239</v>
      </c>
      <c r="DP149" s="7">
        <v>2.5</v>
      </c>
      <c r="DQ149" s="7">
        <v>0</v>
      </c>
      <c r="DR149" s="7">
        <v>6.5</v>
      </c>
      <c r="DS149" s="41">
        <f t="shared" si="139"/>
        <v>2.875</v>
      </c>
      <c r="DT149" s="41">
        <f t="shared" si="140"/>
        <v>2.0207259421636903</v>
      </c>
      <c r="JU149" s="7" t="s">
        <v>252</v>
      </c>
    </row>
    <row r="150" spans="1:281" s="8" customFormat="1" ht="20" customHeight="1" x14ac:dyDescent="0.2">
      <c r="A150" s="35">
        <v>21</v>
      </c>
      <c r="B150" s="7" t="s">
        <v>653</v>
      </c>
      <c r="C150" s="7" t="s">
        <v>521</v>
      </c>
      <c r="D150" s="7" t="s">
        <v>231</v>
      </c>
      <c r="E150" s="8">
        <v>32</v>
      </c>
      <c r="F150" s="8" t="s">
        <v>237</v>
      </c>
      <c r="G150" s="7" t="s">
        <v>237</v>
      </c>
      <c r="H150" s="7">
        <v>23613944</v>
      </c>
      <c r="I150" s="7" t="s">
        <v>984</v>
      </c>
      <c r="J150" s="7" t="s">
        <v>522</v>
      </c>
      <c r="K150" s="8">
        <v>2013</v>
      </c>
      <c r="L150" s="12" t="s">
        <v>523</v>
      </c>
      <c r="N150" s="7" t="s">
        <v>295</v>
      </c>
      <c r="O150" s="7" t="s">
        <v>358</v>
      </c>
      <c r="P150" s="36" t="s">
        <v>822</v>
      </c>
      <c r="Q150" s="36"/>
      <c r="R150" s="36" t="s">
        <v>358</v>
      </c>
      <c r="S150" s="36"/>
      <c r="T150" s="36" t="s">
        <v>358</v>
      </c>
      <c r="U150" s="36"/>
      <c r="V150" s="7" t="s">
        <v>312</v>
      </c>
      <c r="W150" s="7" t="s">
        <v>237</v>
      </c>
      <c r="X150" s="7" t="s">
        <v>284</v>
      </c>
      <c r="Y150" s="7" t="s">
        <v>828</v>
      </c>
      <c r="Z150" s="7" t="s">
        <v>237</v>
      </c>
      <c r="AB150" s="7" t="s">
        <v>237</v>
      </c>
      <c r="AC150" s="7" t="s">
        <v>938</v>
      </c>
      <c r="AD150" s="7" t="s">
        <v>239</v>
      </c>
      <c r="AE150" s="7" t="s">
        <v>469</v>
      </c>
      <c r="AF150" s="7" t="s">
        <v>239</v>
      </c>
      <c r="AG150" s="7" t="s">
        <v>237</v>
      </c>
      <c r="AH150" s="7" t="s">
        <v>239</v>
      </c>
      <c r="AI150" s="8">
        <v>30</v>
      </c>
      <c r="AK150" s="7" t="s">
        <v>239</v>
      </c>
      <c r="AL150" s="8">
        <v>3000</v>
      </c>
      <c r="AM150" s="7" t="s">
        <v>259</v>
      </c>
      <c r="AN150" s="43">
        <v>2430</v>
      </c>
      <c r="AO150" s="11">
        <f>SUM(2+(2.4*2)+2.9)/4</f>
        <v>2.4249999999999998</v>
      </c>
      <c r="AP150" s="11" t="s">
        <v>893</v>
      </c>
      <c r="AQ150" s="11"/>
      <c r="AR150" s="8">
        <v>128</v>
      </c>
      <c r="AS150" s="7"/>
      <c r="AT150" s="7"/>
      <c r="AU150" s="7"/>
      <c r="AV150" s="7"/>
      <c r="AX150" s="7" t="s">
        <v>244</v>
      </c>
      <c r="AY150" s="7" t="s">
        <v>277</v>
      </c>
      <c r="BA150" s="7" t="s">
        <v>527</v>
      </c>
      <c r="BB150" s="7" t="s">
        <v>459</v>
      </c>
      <c r="BC150" s="41">
        <v>14.1</v>
      </c>
      <c r="BD150" s="11"/>
      <c r="BE150" s="11"/>
      <c r="BF150" s="11">
        <v>14.98</v>
      </c>
      <c r="BG150" s="11"/>
      <c r="BH150" s="11"/>
      <c r="BI150" s="7" t="s">
        <v>528</v>
      </c>
      <c r="BJ150" s="8">
        <v>2</v>
      </c>
      <c r="BK150" s="5" t="str">
        <f t="shared" si="133"/>
        <v>Control_greater_than_case</v>
      </c>
      <c r="BP150" s="7" t="s">
        <v>240</v>
      </c>
      <c r="BR150" s="7" t="s">
        <v>262</v>
      </c>
      <c r="CG150" s="7" t="s">
        <v>239</v>
      </c>
      <c r="CH150" s="7" t="s">
        <v>237</v>
      </c>
      <c r="CJ150" s="7" t="s">
        <v>239</v>
      </c>
      <c r="CK150" s="7" t="s">
        <v>248</v>
      </c>
      <c r="CL150" s="8">
        <v>15</v>
      </c>
      <c r="CM150" s="8">
        <v>20</v>
      </c>
      <c r="CN150" s="7" t="s">
        <v>525</v>
      </c>
      <c r="CO150" s="44" t="s">
        <v>825</v>
      </c>
      <c r="CP150" s="44"/>
      <c r="CQ150" s="7" t="s">
        <v>526</v>
      </c>
      <c r="CS150" s="8">
        <f t="shared" si="141"/>
        <v>19.5</v>
      </c>
      <c r="CT150" s="8">
        <f t="shared" si="142"/>
        <v>14</v>
      </c>
      <c r="CU150" s="8">
        <f t="shared" si="143"/>
        <v>53.75</v>
      </c>
      <c r="CV150" s="11">
        <f t="shared" si="144"/>
        <v>12.503332889007368</v>
      </c>
      <c r="CW150" s="8">
        <f t="shared" si="145"/>
        <v>48.75</v>
      </c>
      <c r="CX150" s="11">
        <f t="shared" si="146"/>
        <v>13.076696830622021</v>
      </c>
      <c r="CY150" s="42">
        <f t="shared" si="97"/>
        <v>50.892857142857146</v>
      </c>
      <c r="CZ150" s="42">
        <f t="shared" si="134"/>
        <v>12.893172362045849</v>
      </c>
      <c r="DA150" s="8">
        <v>14</v>
      </c>
      <c r="DB150" s="43">
        <f t="shared" si="135"/>
        <v>93.333333333333329</v>
      </c>
      <c r="DC150" s="8">
        <v>15</v>
      </c>
      <c r="DD150" s="43">
        <f t="shared" si="136"/>
        <v>75</v>
      </c>
      <c r="DE150" s="28">
        <f t="shared" si="137"/>
        <v>82.857142857142861</v>
      </c>
      <c r="DG150" s="8">
        <f t="shared" si="138"/>
        <v>35</v>
      </c>
      <c r="DH150" s="7" t="s">
        <v>240</v>
      </c>
      <c r="DO150" s="7" t="s">
        <v>239</v>
      </c>
      <c r="DP150" s="7">
        <v>2.5</v>
      </c>
      <c r="DQ150" s="7">
        <v>0</v>
      </c>
      <c r="DR150" s="7">
        <v>6.5</v>
      </c>
      <c r="DS150" s="41">
        <f t="shared" si="139"/>
        <v>2.875</v>
      </c>
      <c r="DT150" s="41">
        <f t="shared" si="140"/>
        <v>2.0207259421636903</v>
      </c>
      <c r="JU150" s="7" t="s">
        <v>252</v>
      </c>
    </row>
    <row r="151" spans="1:281" s="8" customFormat="1" ht="20" customHeight="1" x14ac:dyDescent="0.2">
      <c r="A151" s="35">
        <v>21</v>
      </c>
      <c r="B151" s="7" t="s">
        <v>654</v>
      </c>
      <c r="C151" s="7" t="s">
        <v>521</v>
      </c>
      <c r="D151" s="7" t="s">
        <v>231</v>
      </c>
      <c r="E151" s="8">
        <v>32</v>
      </c>
      <c r="F151" s="8" t="s">
        <v>239</v>
      </c>
      <c r="G151" s="7" t="s">
        <v>237</v>
      </c>
      <c r="H151" s="7">
        <v>23613944</v>
      </c>
      <c r="I151" s="7" t="s">
        <v>985</v>
      </c>
      <c r="J151" s="7" t="s">
        <v>522</v>
      </c>
      <c r="K151" s="8">
        <v>2013</v>
      </c>
      <c r="L151" s="12" t="s">
        <v>523</v>
      </c>
      <c r="N151" s="7" t="s">
        <v>234</v>
      </c>
      <c r="O151" s="7" t="s">
        <v>247</v>
      </c>
      <c r="P151" s="36" t="s">
        <v>821</v>
      </c>
      <c r="Q151" s="36"/>
      <c r="R151" s="36"/>
      <c r="S151" s="36"/>
      <c r="T151" s="36"/>
      <c r="U151" s="36"/>
      <c r="V151" s="7" t="s">
        <v>312</v>
      </c>
      <c r="W151" s="7" t="s">
        <v>237</v>
      </c>
      <c r="X151" s="7" t="s">
        <v>284</v>
      </c>
      <c r="Y151" s="7" t="s">
        <v>828</v>
      </c>
      <c r="Z151" s="7" t="s">
        <v>237</v>
      </c>
      <c r="AB151" s="7" t="s">
        <v>237</v>
      </c>
      <c r="AC151" s="44" t="s">
        <v>937</v>
      </c>
      <c r="AD151" s="7" t="s">
        <v>239</v>
      </c>
      <c r="AE151" s="7" t="s">
        <v>469</v>
      </c>
      <c r="AF151" s="7" t="s">
        <v>239</v>
      </c>
      <c r="AG151" s="7" t="s">
        <v>237</v>
      </c>
      <c r="AH151" s="7" t="s">
        <v>239</v>
      </c>
      <c r="AI151" s="8">
        <v>30</v>
      </c>
      <c r="AK151" s="7" t="s">
        <v>239</v>
      </c>
      <c r="AL151" s="8">
        <v>3000</v>
      </c>
      <c r="AM151" s="7" t="s">
        <v>259</v>
      </c>
      <c r="AN151" s="43">
        <v>3030</v>
      </c>
      <c r="AO151" s="11">
        <f>SUM(2.3+(2*3.1)+3.6)/4</f>
        <v>3.0249999999999999</v>
      </c>
      <c r="AP151" s="11" t="s">
        <v>893</v>
      </c>
      <c r="AQ151" s="11"/>
      <c r="AR151" s="8">
        <v>128</v>
      </c>
      <c r="AS151" s="7"/>
      <c r="AT151" s="7"/>
      <c r="AU151" s="7"/>
      <c r="AV151" s="7"/>
      <c r="AX151" s="7" t="s">
        <v>244</v>
      </c>
      <c r="AY151" s="7" t="s">
        <v>245</v>
      </c>
      <c r="BB151" s="7" t="s">
        <v>459</v>
      </c>
      <c r="BC151" s="11">
        <v>7.96</v>
      </c>
      <c r="BD151" s="11"/>
      <c r="BE151" s="11"/>
      <c r="BF151" s="11">
        <v>6.75</v>
      </c>
      <c r="BG151" s="11"/>
      <c r="BH151" s="11"/>
      <c r="BI151" s="7" t="s">
        <v>524</v>
      </c>
      <c r="BJ151" s="8">
        <v>2</v>
      </c>
      <c r="BK151" s="5" t="str">
        <f t="shared" si="133"/>
        <v>Case_greater_than_control</v>
      </c>
      <c r="BP151" s="7" t="s">
        <v>240</v>
      </c>
      <c r="BR151" s="7" t="s">
        <v>247</v>
      </c>
      <c r="BS151" s="7" t="s">
        <v>235</v>
      </c>
      <c r="CG151" s="7" t="s">
        <v>239</v>
      </c>
      <c r="CH151" s="7" t="s">
        <v>237</v>
      </c>
      <c r="CJ151" s="7" t="s">
        <v>239</v>
      </c>
      <c r="CK151" s="7" t="s">
        <v>248</v>
      </c>
      <c r="CL151" s="8">
        <v>20</v>
      </c>
      <c r="CM151" s="8">
        <v>20</v>
      </c>
      <c r="CN151" s="7" t="s">
        <v>529</v>
      </c>
      <c r="CO151" s="7" t="s">
        <v>249</v>
      </c>
      <c r="CP151" s="7" t="s">
        <v>249</v>
      </c>
      <c r="CQ151" s="7" t="s">
        <v>530</v>
      </c>
      <c r="CS151" s="8">
        <f>(2+2*13+35)/4</f>
        <v>15.75</v>
      </c>
      <c r="CT151" s="8">
        <f>SQRT(((2-2*13+35)^2)/4 + (33)^2/12)</f>
        <v>11</v>
      </c>
      <c r="CU151" s="8">
        <f>(20+2*46+66)/4</f>
        <v>44.5</v>
      </c>
      <c r="CV151" s="11">
        <f>SQRT(((20-2*46+66)^2)/4 + (46)^2/12)</f>
        <v>13.613718571108091</v>
      </c>
      <c r="CW151" s="8">
        <f t="shared" si="145"/>
        <v>48.75</v>
      </c>
      <c r="CX151" s="11">
        <f t="shared" si="146"/>
        <v>13.076696830622021</v>
      </c>
      <c r="CY151" s="42">
        <f t="shared" si="97"/>
        <v>46.625</v>
      </c>
      <c r="CZ151" s="42">
        <f t="shared" si="134"/>
        <v>13.350269692208499</v>
      </c>
      <c r="DA151" s="8">
        <v>14</v>
      </c>
      <c r="DB151" s="43">
        <f t="shared" si="135"/>
        <v>70</v>
      </c>
      <c r="DC151" s="8">
        <v>15</v>
      </c>
      <c r="DD151" s="43">
        <f t="shared" si="136"/>
        <v>75</v>
      </c>
      <c r="DE151" s="28">
        <f t="shared" si="137"/>
        <v>72.5</v>
      </c>
      <c r="DG151" s="8">
        <f t="shared" si="138"/>
        <v>40</v>
      </c>
      <c r="DH151" s="7" t="s">
        <v>240</v>
      </c>
      <c r="DO151" s="7" t="s">
        <v>239</v>
      </c>
      <c r="DP151" s="7">
        <v>3.25</v>
      </c>
      <c r="DQ151" s="7">
        <v>1</v>
      </c>
      <c r="DR151" s="7">
        <v>8.5</v>
      </c>
      <c r="DS151" s="41">
        <f t="shared" si="139"/>
        <v>4</v>
      </c>
      <c r="DT151" s="41">
        <f t="shared" si="140"/>
        <v>2.6339134382131846</v>
      </c>
      <c r="JU151" s="7" t="s">
        <v>252</v>
      </c>
    </row>
    <row r="152" spans="1:281" s="8" customFormat="1" ht="20" customHeight="1" x14ac:dyDescent="0.2">
      <c r="A152" s="35">
        <v>21</v>
      </c>
      <c r="B152" s="7" t="s">
        <v>655</v>
      </c>
      <c r="C152" s="7" t="s">
        <v>521</v>
      </c>
      <c r="D152" s="7" t="s">
        <v>231</v>
      </c>
      <c r="E152" s="8">
        <v>32</v>
      </c>
      <c r="F152" s="8" t="s">
        <v>237</v>
      </c>
      <c r="G152" s="7" t="s">
        <v>237</v>
      </c>
      <c r="H152" s="7">
        <v>23613944</v>
      </c>
      <c r="I152" s="7" t="s">
        <v>986</v>
      </c>
      <c r="J152" s="7" t="s">
        <v>522</v>
      </c>
      <c r="K152" s="8">
        <v>2013</v>
      </c>
      <c r="L152" s="12" t="s">
        <v>523</v>
      </c>
      <c r="N152" s="7" t="s">
        <v>234</v>
      </c>
      <c r="O152" s="7" t="s">
        <v>247</v>
      </c>
      <c r="P152" s="36" t="s">
        <v>821</v>
      </c>
      <c r="Q152" s="36"/>
      <c r="R152" s="36"/>
      <c r="S152" s="36"/>
      <c r="T152" s="36"/>
      <c r="U152" s="36"/>
      <c r="V152" s="7" t="s">
        <v>312</v>
      </c>
      <c r="W152" s="7" t="s">
        <v>237</v>
      </c>
      <c r="X152" s="7" t="s">
        <v>284</v>
      </c>
      <c r="Y152" s="7" t="s">
        <v>828</v>
      </c>
      <c r="Z152" s="7" t="s">
        <v>237</v>
      </c>
      <c r="AB152" s="7" t="s">
        <v>237</v>
      </c>
      <c r="AC152" s="44" t="s">
        <v>937</v>
      </c>
      <c r="AD152" s="7" t="s">
        <v>239</v>
      </c>
      <c r="AE152" s="7" t="s">
        <v>469</v>
      </c>
      <c r="AF152" s="7" t="s">
        <v>239</v>
      </c>
      <c r="AG152" s="7" t="s">
        <v>237</v>
      </c>
      <c r="AH152" s="7" t="s">
        <v>239</v>
      </c>
      <c r="AI152" s="8">
        <v>30</v>
      </c>
      <c r="AK152" s="7" t="s">
        <v>239</v>
      </c>
      <c r="AL152" s="8">
        <v>3000</v>
      </c>
      <c r="AM152" s="7" t="s">
        <v>259</v>
      </c>
      <c r="AN152" s="43">
        <v>3030</v>
      </c>
      <c r="AO152" s="11">
        <f>SUM(2.3+(2*3.1)+3.6)/4</f>
        <v>3.0249999999999999</v>
      </c>
      <c r="AP152" s="11" t="s">
        <v>893</v>
      </c>
      <c r="AQ152" s="11"/>
      <c r="AR152" s="8">
        <v>128</v>
      </c>
      <c r="AS152" s="7"/>
      <c r="AT152" s="7"/>
      <c r="AU152" s="7"/>
      <c r="AV152" s="7"/>
      <c r="AX152" s="7" t="s">
        <v>244</v>
      </c>
      <c r="AY152" s="7" t="s">
        <v>277</v>
      </c>
      <c r="BA152" s="7" t="s">
        <v>527</v>
      </c>
      <c r="BB152" s="7" t="s">
        <v>459</v>
      </c>
      <c r="BC152" s="11">
        <v>11.65</v>
      </c>
      <c r="BD152" s="11"/>
      <c r="BE152" s="11"/>
      <c r="BF152" s="11">
        <v>10.15</v>
      </c>
      <c r="BG152" s="11"/>
      <c r="BH152" s="11"/>
      <c r="BI152" s="7" t="s">
        <v>524</v>
      </c>
      <c r="BJ152" s="8">
        <v>2</v>
      </c>
      <c r="BK152" s="5" t="str">
        <f t="shared" si="133"/>
        <v>Case_greater_than_control</v>
      </c>
      <c r="BP152" s="7" t="s">
        <v>240</v>
      </c>
      <c r="BR152" s="7" t="s">
        <v>247</v>
      </c>
      <c r="BS152" s="7" t="s">
        <v>235</v>
      </c>
      <c r="CG152" s="7" t="s">
        <v>239</v>
      </c>
      <c r="CH152" s="7" t="s">
        <v>237</v>
      </c>
      <c r="CJ152" s="7" t="s">
        <v>239</v>
      </c>
      <c r="CK152" s="7" t="s">
        <v>248</v>
      </c>
      <c r="CL152" s="8">
        <v>20</v>
      </c>
      <c r="CM152" s="8">
        <v>20</v>
      </c>
      <c r="CN152" s="7" t="s">
        <v>529</v>
      </c>
      <c r="CO152" s="7" t="s">
        <v>249</v>
      </c>
      <c r="CP152" s="7" t="s">
        <v>249</v>
      </c>
      <c r="CQ152" s="7" t="s">
        <v>530</v>
      </c>
      <c r="CS152" s="8">
        <f t="shared" ref="CS152:CS154" si="147">(2+2*13+35)/4</f>
        <v>15.75</v>
      </c>
      <c r="CT152" s="8">
        <f t="shared" ref="CT152:CT154" si="148">SQRT(((2-2*13+35)^2)/4 + (33)^2/12)</f>
        <v>11</v>
      </c>
      <c r="CU152" s="8">
        <f t="shared" ref="CU152:CU154" si="149">(20+2*46+66)/4</f>
        <v>44.5</v>
      </c>
      <c r="CV152" s="11">
        <f t="shared" ref="CV152:CV154" si="150">SQRT(((20-2*46+66)^2)/4 + (46)^2/12)</f>
        <v>13.613718571108091</v>
      </c>
      <c r="CW152" s="8">
        <f t="shared" si="145"/>
        <v>48.75</v>
      </c>
      <c r="CX152" s="11">
        <f t="shared" si="146"/>
        <v>13.076696830622021</v>
      </c>
      <c r="CY152" s="42">
        <f t="shared" si="97"/>
        <v>46.625</v>
      </c>
      <c r="CZ152" s="42">
        <f t="shared" si="134"/>
        <v>13.350269692208499</v>
      </c>
      <c r="DA152" s="8">
        <v>14</v>
      </c>
      <c r="DB152" s="43">
        <f t="shared" si="135"/>
        <v>70</v>
      </c>
      <c r="DC152" s="8">
        <v>15</v>
      </c>
      <c r="DD152" s="43">
        <f t="shared" si="136"/>
        <v>75</v>
      </c>
      <c r="DE152" s="28">
        <f t="shared" si="137"/>
        <v>72.5</v>
      </c>
      <c r="DG152" s="8">
        <f t="shared" si="138"/>
        <v>40</v>
      </c>
      <c r="DH152" s="7" t="s">
        <v>240</v>
      </c>
      <c r="DO152" s="7" t="s">
        <v>239</v>
      </c>
      <c r="DP152" s="7">
        <v>3.25</v>
      </c>
      <c r="DQ152" s="7">
        <v>1</v>
      </c>
      <c r="DR152" s="7">
        <v>8.5</v>
      </c>
      <c r="DS152" s="41">
        <f t="shared" si="139"/>
        <v>4</v>
      </c>
      <c r="DT152" s="41">
        <f t="shared" si="140"/>
        <v>2.6339134382131846</v>
      </c>
      <c r="JU152" s="7" t="s">
        <v>252</v>
      </c>
    </row>
    <row r="153" spans="1:281" s="8" customFormat="1" ht="20" customHeight="1" x14ac:dyDescent="0.2">
      <c r="A153" s="35">
        <v>21</v>
      </c>
      <c r="B153" s="7" t="s">
        <v>656</v>
      </c>
      <c r="C153" s="7" t="s">
        <v>521</v>
      </c>
      <c r="D153" s="7" t="s">
        <v>231</v>
      </c>
      <c r="E153" s="8">
        <v>32</v>
      </c>
      <c r="F153" s="8" t="s">
        <v>239</v>
      </c>
      <c r="G153" s="7" t="s">
        <v>237</v>
      </c>
      <c r="H153" s="7">
        <v>23613944</v>
      </c>
      <c r="I153" s="7" t="s">
        <v>987</v>
      </c>
      <c r="J153" s="7" t="s">
        <v>522</v>
      </c>
      <c r="K153" s="8">
        <v>2013</v>
      </c>
      <c r="L153" s="12" t="s">
        <v>523</v>
      </c>
      <c r="N153" s="7" t="s">
        <v>295</v>
      </c>
      <c r="O153" s="7" t="s">
        <v>358</v>
      </c>
      <c r="P153" s="36" t="s">
        <v>822</v>
      </c>
      <c r="Q153" s="36"/>
      <c r="R153" s="36" t="s">
        <v>358</v>
      </c>
      <c r="S153" s="36"/>
      <c r="T153" s="36" t="s">
        <v>358</v>
      </c>
      <c r="U153" s="36"/>
      <c r="V153" s="7" t="s">
        <v>312</v>
      </c>
      <c r="W153" s="7" t="s">
        <v>237</v>
      </c>
      <c r="X153" s="7" t="s">
        <v>284</v>
      </c>
      <c r="Y153" s="7" t="s">
        <v>828</v>
      </c>
      <c r="Z153" s="7" t="s">
        <v>237</v>
      </c>
      <c r="AB153" s="7" t="s">
        <v>237</v>
      </c>
      <c r="AC153" s="44" t="s">
        <v>938</v>
      </c>
      <c r="AD153" s="7" t="s">
        <v>239</v>
      </c>
      <c r="AE153" s="7" t="s">
        <v>469</v>
      </c>
      <c r="AF153" s="7" t="s">
        <v>239</v>
      </c>
      <c r="AG153" s="7" t="s">
        <v>237</v>
      </c>
      <c r="AH153" s="7" t="s">
        <v>239</v>
      </c>
      <c r="AI153" s="8">
        <v>30</v>
      </c>
      <c r="AK153" s="7" t="s">
        <v>239</v>
      </c>
      <c r="AL153" s="8">
        <v>3000</v>
      </c>
      <c r="AM153" s="7" t="s">
        <v>259</v>
      </c>
      <c r="AN153" s="43">
        <v>2430</v>
      </c>
      <c r="AO153" s="11">
        <f>SUM(2+(2.4*2)+2.9)/4</f>
        <v>2.4249999999999998</v>
      </c>
      <c r="AP153" s="11" t="s">
        <v>893</v>
      </c>
      <c r="AQ153" s="11"/>
      <c r="AR153" s="8">
        <v>128</v>
      </c>
      <c r="AS153" s="7"/>
      <c r="AT153" s="7"/>
      <c r="AU153" s="7"/>
      <c r="AV153" s="7"/>
      <c r="AX153" s="7" t="s">
        <v>244</v>
      </c>
      <c r="AY153" s="7" t="s">
        <v>245</v>
      </c>
      <c r="BB153" s="7" t="s">
        <v>459</v>
      </c>
      <c r="BC153" s="11">
        <v>10.91</v>
      </c>
      <c r="BD153" s="11"/>
      <c r="BE153" s="11"/>
      <c r="BF153" s="11">
        <v>10.62</v>
      </c>
      <c r="BG153" s="11"/>
      <c r="BH153" s="11"/>
      <c r="BI153" s="7" t="s">
        <v>528</v>
      </c>
      <c r="BJ153" s="8">
        <v>2</v>
      </c>
      <c r="BK153" s="5" t="str">
        <f t="shared" si="133"/>
        <v>Case_greater_than_control</v>
      </c>
      <c r="BP153" s="7" t="s">
        <v>240</v>
      </c>
      <c r="BR153" s="7" t="s">
        <v>262</v>
      </c>
      <c r="CG153" s="7" t="s">
        <v>239</v>
      </c>
      <c r="CH153" s="7" t="s">
        <v>237</v>
      </c>
      <c r="CJ153" s="7" t="s">
        <v>239</v>
      </c>
      <c r="CK153" s="7" t="s">
        <v>248</v>
      </c>
      <c r="CL153" s="8">
        <v>20</v>
      </c>
      <c r="CM153" s="8">
        <v>20</v>
      </c>
      <c r="CN153" s="7" t="s">
        <v>529</v>
      </c>
      <c r="CO153" s="7" t="s">
        <v>249</v>
      </c>
      <c r="CP153" s="7" t="s">
        <v>249</v>
      </c>
      <c r="CQ153" s="7" t="s">
        <v>530</v>
      </c>
      <c r="CS153" s="8">
        <f t="shared" si="147"/>
        <v>15.75</v>
      </c>
      <c r="CT153" s="8">
        <f t="shared" si="148"/>
        <v>11</v>
      </c>
      <c r="CU153" s="8">
        <f t="shared" si="149"/>
        <v>44.5</v>
      </c>
      <c r="CV153" s="11">
        <f t="shared" si="150"/>
        <v>13.613718571108091</v>
      </c>
      <c r="CW153" s="8">
        <f t="shared" si="145"/>
        <v>48.75</v>
      </c>
      <c r="CX153" s="11">
        <f t="shared" si="146"/>
        <v>13.076696830622021</v>
      </c>
      <c r="CY153" s="42">
        <f t="shared" si="97"/>
        <v>46.625</v>
      </c>
      <c r="CZ153" s="42">
        <f t="shared" si="134"/>
        <v>13.350269692208499</v>
      </c>
      <c r="DA153" s="8">
        <v>14</v>
      </c>
      <c r="DB153" s="43">
        <f t="shared" si="135"/>
        <v>70</v>
      </c>
      <c r="DC153" s="8">
        <v>15</v>
      </c>
      <c r="DD153" s="43">
        <f t="shared" si="136"/>
        <v>75</v>
      </c>
      <c r="DE153" s="28">
        <f t="shared" si="137"/>
        <v>72.5</v>
      </c>
      <c r="DG153" s="8">
        <f t="shared" si="138"/>
        <v>40</v>
      </c>
      <c r="DH153" s="7" t="s">
        <v>240</v>
      </c>
      <c r="DO153" s="7" t="s">
        <v>239</v>
      </c>
      <c r="DP153" s="7">
        <v>3.25</v>
      </c>
      <c r="DQ153" s="7">
        <v>1</v>
      </c>
      <c r="DR153" s="7">
        <v>8.5</v>
      </c>
      <c r="DS153" s="41">
        <f t="shared" si="139"/>
        <v>4</v>
      </c>
      <c r="DT153" s="41">
        <f t="shared" si="140"/>
        <v>2.6339134382131846</v>
      </c>
      <c r="JU153" s="7" t="s">
        <v>252</v>
      </c>
    </row>
    <row r="154" spans="1:281" s="64" customFormat="1" ht="20" customHeight="1" x14ac:dyDescent="0.2">
      <c r="A154" s="106">
        <v>21</v>
      </c>
      <c r="B154" s="71" t="s">
        <v>657</v>
      </c>
      <c r="C154" s="71" t="s">
        <v>521</v>
      </c>
      <c r="D154" s="71" t="s">
        <v>231</v>
      </c>
      <c r="E154" s="64">
        <v>32</v>
      </c>
      <c r="F154" s="64" t="s">
        <v>237</v>
      </c>
      <c r="G154" s="71" t="s">
        <v>237</v>
      </c>
      <c r="H154" s="71">
        <v>23613944</v>
      </c>
      <c r="I154" s="71" t="s">
        <v>988</v>
      </c>
      <c r="J154" s="71" t="s">
        <v>522</v>
      </c>
      <c r="K154" s="64">
        <v>2013</v>
      </c>
      <c r="L154" s="124" t="s">
        <v>523</v>
      </c>
      <c r="N154" s="71" t="s">
        <v>295</v>
      </c>
      <c r="O154" s="71" t="s">
        <v>358</v>
      </c>
      <c r="P154" s="108" t="s">
        <v>822</v>
      </c>
      <c r="Q154" s="108"/>
      <c r="R154" s="108" t="s">
        <v>358</v>
      </c>
      <c r="S154" s="108"/>
      <c r="T154" s="108" t="s">
        <v>358</v>
      </c>
      <c r="U154" s="108"/>
      <c r="V154" s="71" t="s">
        <v>312</v>
      </c>
      <c r="W154" s="71" t="s">
        <v>237</v>
      </c>
      <c r="X154" s="71" t="s">
        <v>284</v>
      </c>
      <c r="Y154" s="71" t="s">
        <v>828</v>
      </c>
      <c r="Z154" s="71" t="s">
        <v>237</v>
      </c>
      <c r="AB154" s="71" t="s">
        <v>237</v>
      </c>
      <c r="AC154" s="113" t="s">
        <v>938</v>
      </c>
      <c r="AD154" s="71" t="s">
        <v>239</v>
      </c>
      <c r="AE154" s="71" t="s">
        <v>469</v>
      </c>
      <c r="AF154" s="71" t="s">
        <v>239</v>
      </c>
      <c r="AG154" s="71" t="s">
        <v>237</v>
      </c>
      <c r="AH154" s="71" t="s">
        <v>239</v>
      </c>
      <c r="AI154" s="64">
        <v>30</v>
      </c>
      <c r="AK154" s="71" t="s">
        <v>239</v>
      </c>
      <c r="AL154" s="64">
        <v>3000</v>
      </c>
      <c r="AM154" s="71" t="s">
        <v>259</v>
      </c>
      <c r="AN154" s="117">
        <v>2430</v>
      </c>
      <c r="AO154" s="65">
        <f>SUM(2+(2.4*2)+2.9)/4</f>
        <v>2.4249999999999998</v>
      </c>
      <c r="AP154" s="65" t="s">
        <v>893</v>
      </c>
      <c r="AQ154" s="65"/>
      <c r="AR154" s="64">
        <v>128</v>
      </c>
      <c r="AS154" s="71"/>
      <c r="AT154" s="71"/>
      <c r="AU154" s="71"/>
      <c r="AV154" s="71"/>
      <c r="AX154" s="71" t="s">
        <v>244</v>
      </c>
      <c r="AY154" s="71" t="s">
        <v>277</v>
      </c>
      <c r="BA154" s="71" t="s">
        <v>527</v>
      </c>
      <c r="BB154" s="71" t="s">
        <v>459</v>
      </c>
      <c r="BC154" s="65">
        <v>15.35</v>
      </c>
      <c r="BD154" s="65"/>
      <c r="BE154" s="65"/>
      <c r="BF154" s="65">
        <v>14.98</v>
      </c>
      <c r="BG154" s="65"/>
      <c r="BH154" s="65"/>
      <c r="BI154" s="71" t="s">
        <v>528</v>
      </c>
      <c r="BJ154" s="64">
        <v>2</v>
      </c>
      <c r="BK154" s="73" t="str">
        <f t="shared" si="133"/>
        <v>Case_greater_than_control</v>
      </c>
      <c r="BP154" s="71" t="s">
        <v>240</v>
      </c>
      <c r="BR154" s="71" t="s">
        <v>262</v>
      </c>
      <c r="CG154" s="71" t="s">
        <v>239</v>
      </c>
      <c r="CH154" s="71" t="s">
        <v>237</v>
      </c>
      <c r="CJ154" s="71" t="s">
        <v>239</v>
      </c>
      <c r="CK154" s="71" t="s">
        <v>248</v>
      </c>
      <c r="CL154" s="64">
        <v>20</v>
      </c>
      <c r="CM154" s="64">
        <v>20</v>
      </c>
      <c r="CN154" s="71" t="s">
        <v>529</v>
      </c>
      <c r="CO154" s="71" t="s">
        <v>249</v>
      </c>
      <c r="CP154" s="71" t="s">
        <v>249</v>
      </c>
      <c r="CQ154" s="71" t="s">
        <v>530</v>
      </c>
      <c r="CS154" s="64">
        <f t="shared" si="147"/>
        <v>15.75</v>
      </c>
      <c r="CT154" s="64">
        <f t="shared" si="148"/>
        <v>11</v>
      </c>
      <c r="CU154" s="64">
        <f t="shared" si="149"/>
        <v>44.5</v>
      </c>
      <c r="CV154" s="65">
        <f t="shared" si="150"/>
        <v>13.613718571108091</v>
      </c>
      <c r="CW154" s="64">
        <f t="shared" si="145"/>
        <v>48.75</v>
      </c>
      <c r="CX154" s="65">
        <f t="shared" si="146"/>
        <v>13.076696830622021</v>
      </c>
      <c r="CY154" s="116">
        <f t="shared" si="97"/>
        <v>46.625</v>
      </c>
      <c r="CZ154" s="116">
        <f t="shared" si="134"/>
        <v>13.350269692208499</v>
      </c>
      <c r="DA154" s="64">
        <v>14</v>
      </c>
      <c r="DB154" s="117">
        <f t="shared" si="135"/>
        <v>70</v>
      </c>
      <c r="DC154" s="64">
        <v>15</v>
      </c>
      <c r="DD154" s="117">
        <f t="shared" si="136"/>
        <v>75</v>
      </c>
      <c r="DE154" s="80">
        <f t="shared" si="137"/>
        <v>72.5</v>
      </c>
      <c r="DG154" s="64">
        <f t="shared" si="138"/>
        <v>40</v>
      </c>
      <c r="DH154" s="71" t="s">
        <v>240</v>
      </c>
      <c r="DO154" s="71" t="s">
        <v>239</v>
      </c>
      <c r="DP154" s="71">
        <v>3.25</v>
      </c>
      <c r="DQ154" s="71">
        <v>1</v>
      </c>
      <c r="DR154" s="71">
        <v>8.5</v>
      </c>
      <c r="DS154" s="115">
        <f t="shared" si="139"/>
        <v>4</v>
      </c>
      <c r="DT154" s="115">
        <f t="shared" si="140"/>
        <v>2.6339134382131846</v>
      </c>
      <c r="JU154" s="71" t="s">
        <v>252</v>
      </c>
    </row>
    <row r="155" spans="1:281" s="97" customFormat="1" ht="20" customHeight="1" x14ac:dyDescent="0.2">
      <c r="A155" s="95"/>
      <c r="L155" s="148"/>
      <c r="N155" s="96"/>
      <c r="P155" s="99"/>
      <c r="Q155" s="99"/>
      <c r="R155" s="99"/>
      <c r="S155" s="99"/>
      <c r="T155" s="99"/>
      <c r="U155" s="99"/>
    </row>
    <row r="156" spans="1:281" s="85" customFormat="1" ht="20" customHeight="1" x14ac:dyDescent="0.2">
      <c r="A156" s="83">
        <v>76</v>
      </c>
      <c r="B156" s="84" t="s">
        <v>767</v>
      </c>
      <c r="C156" s="84" t="s">
        <v>531</v>
      </c>
      <c r="D156" s="84" t="s">
        <v>231</v>
      </c>
      <c r="E156" s="85">
        <v>34</v>
      </c>
      <c r="F156" s="85" t="s">
        <v>239</v>
      </c>
      <c r="G156" s="84" t="s">
        <v>237</v>
      </c>
      <c r="H156" s="84">
        <v>15678547</v>
      </c>
      <c r="I156" s="84"/>
      <c r="J156" s="84" t="s">
        <v>532</v>
      </c>
      <c r="K156" s="85">
        <v>2005</v>
      </c>
      <c r="L156" s="119" t="s">
        <v>533</v>
      </c>
      <c r="N156" s="84" t="s">
        <v>234</v>
      </c>
      <c r="O156" s="84" t="s">
        <v>534</v>
      </c>
      <c r="P156" s="87" t="s">
        <v>235</v>
      </c>
      <c r="Q156" s="87"/>
      <c r="R156" s="87"/>
      <c r="S156" s="87"/>
      <c r="T156" s="87"/>
      <c r="U156" s="87"/>
      <c r="V156" s="84" t="s">
        <v>312</v>
      </c>
      <c r="W156" s="84" t="s">
        <v>237</v>
      </c>
      <c r="X156" s="84" t="s">
        <v>323</v>
      </c>
      <c r="Y156" s="84" t="s">
        <v>323</v>
      </c>
      <c r="Z156" s="84" t="s">
        <v>237</v>
      </c>
      <c r="AB156" s="84" t="s">
        <v>237</v>
      </c>
      <c r="AC156" s="84" t="s">
        <v>940</v>
      </c>
      <c r="AD156" s="84" t="s">
        <v>239</v>
      </c>
      <c r="AE156" s="84" t="s">
        <v>469</v>
      </c>
      <c r="AF156" s="84" t="s">
        <v>239</v>
      </c>
      <c r="AG156" s="84" t="s">
        <v>237</v>
      </c>
      <c r="AH156" s="84" t="s">
        <v>239</v>
      </c>
      <c r="AI156" s="85">
        <v>20</v>
      </c>
      <c r="AK156" s="84" t="s">
        <v>239</v>
      </c>
      <c r="AL156" s="85">
        <v>6000</v>
      </c>
      <c r="AM156" s="84" t="s">
        <v>259</v>
      </c>
      <c r="AN156" s="84" t="s">
        <v>535</v>
      </c>
      <c r="AO156" s="84"/>
      <c r="AP156" s="84"/>
      <c r="AQ156" s="84"/>
      <c r="AR156" s="85">
        <v>64</v>
      </c>
      <c r="AS156" s="84"/>
      <c r="AT156" s="84"/>
      <c r="AU156" s="84"/>
      <c r="AV156" s="84"/>
      <c r="AX156" s="84" t="s">
        <v>253</v>
      </c>
      <c r="AY156" s="84" t="s">
        <v>245</v>
      </c>
      <c r="BB156" s="84" t="s">
        <v>246</v>
      </c>
      <c r="BC156" s="103">
        <v>7.1</v>
      </c>
      <c r="BD156" s="103">
        <v>1</v>
      </c>
      <c r="BE156" s="103"/>
      <c r="BF156" s="103">
        <v>6.1</v>
      </c>
      <c r="BG156" s="103">
        <v>1.2</v>
      </c>
      <c r="BH156" s="103"/>
      <c r="BI156" s="104" t="s">
        <v>297</v>
      </c>
      <c r="BJ156" s="85">
        <v>2</v>
      </c>
      <c r="BK156" s="89" t="str">
        <f t="shared" ref="BK156:BK163" si="151">IF(AND(BC156&lt;&gt;"",BF156&lt;&gt;""),IF(BC156&gt;BF156,"Case_greater_than_control","Control_greater_than_case"),"")</f>
        <v>Case_greater_than_control</v>
      </c>
      <c r="BP156" s="84" t="s">
        <v>240</v>
      </c>
      <c r="BR156" s="84" t="s">
        <v>247</v>
      </c>
      <c r="BS156" s="84" t="s">
        <v>235</v>
      </c>
      <c r="CG156" s="84" t="s">
        <v>237</v>
      </c>
      <c r="CH156" s="84" t="s">
        <v>237</v>
      </c>
      <c r="CJ156" s="84" t="s">
        <v>239</v>
      </c>
      <c r="CK156" s="84" t="s">
        <v>248</v>
      </c>
      <c r="CL156" s="85">
        <v>12</v>
      </c>
      <c r="CM156" s="85">
        <v>24</v>
      </c>
      <c r="CN156" s="84" t="s">
        <v>292</v>
      </c>
      <c r="CO156" s="84" t="s">
        <v>292</v>
      </c>
      <c r="CP156" s="84" t="s">
        <v>292</v>
      </c>
      <c r="CQ156" s="84" t="s">
        <v>536</v>
      </c>
      <c r="CR156" s="89" t="s">
        <v>537</v>
      </c>
      <c r="CS156" s="104">
        <v>12.8</v>
      </c>
      <c r="CT156" s="104">
        <v>9.8000000000000007</v>
      </c>
      <c r="CU156" s="104">
        <v>55.6</v>
      </c>
      <c r="CV156" s="104">
        <v>9</v>
      </c>
      <c r="CW156" s="104">
        <v>30.4</v>
      </c>
      <c r="CX156" s="104">
        <v>7</v>
      </c>
      <c r="CY156" s="104">
        <f t="shared" si="97"/>
        <v>38.799999999999997</v>
      </c>
      <c r="CZ156" s="104">
        <f t="shared" ref="CZ156:CZ163" si="152">IF(OR(CY156="",CV156="",CX156=""),"",SQRT(((CL156-1)*(CV156^2) + (CM156-1)*(CX156^2) + CL156*(CU156-CY156)^2 + CM156*(CW156-CY156)^2) / (CL156+CM156-1)))</f>
        <v>14.241107501073886</v>
      </c>
      <c r="DA156" s="84">
        <v>6</v>
      </c>
      <c r="DB156" s="103">
        <f t="shared" si="135"/>
        <v>50</v>
      </c>
      <c r="DC156" s="85">
        <v>11</v>
      </c>
      <c r="DD156" s="103">
        <f t="shared" ref="DD156:DD163" si="153">IF(DC156="","",(DC156/CM156)*100)</f>
        <v>45.833333333333329</v>
      </c>
      <c r="DE156" s="93">
        <f t="shared" ref="DE156:DE163" si="154">IF(AND(DA156&lt;&gt;"",DC156&lt;&gt;""),(DA156+DC156)/(CL156+CM156)*100,
   IF(AND(DB156&lt;&gt;"",DD156&lt;&gt;""),(DB156*CL156 + DD156*CM156)/(CL156+CM156),
   ""))</f>
        <v>47.222222222222221</v>
      </c>
      <c r="DG156" s="85">
        <f t="shared" ref="DG156:DG163" si="155">SUM(CL156,CM156)</f>
        <v>36</v>
      </c>
      <c r="DH156" s="84" t="s">
        <v>239</v>
      </c>
      <c r="DJ156" s="85">
        <v>0</v>
      </c>
      <c r="DK156" s="84" t="s">
        <v>237</v>
      </c>
      <c r="DO156" s="84" t="s">
        <v>239</v>
      </c>
      <c r="DP156" s="104">
        <v>4.5</v>
      </c>
      <c r="DQ156" s="104">
        <v>3</v>
      </c>
      <c r="DR156" s="104">
        <v>6.5</v>
      </c>
      <c r="DS156" s="103">
        <f t="shared" si="139"/>
        <v>4.625</v>
      </c>
      <c r="DT156" s="103">
        <f t="shared" si="140"/>
        <v>1.0408329997330663</v>
      </c>
      <c r="JU156" s="84" t="s">
        <v>252</v>
      </c>
    </row>
    <row r="157" spans="1:281" s="8" customFormat="1" ht="20" customHeight="1" x14ac:dyDescent="0.2">
      <c r="A157" s="35">
        <v>76</v>
      </c>
      <c r="B157" s="7" t="s">
        <v>768</v>
      </c>
      <c r="C157" s="7" t="s">
        <v>531</v>
      </c>
      <c r="D157" s="7" t="s">
        <v>231</v>
      </c>
      <c r="E157" s="8">
        <v>34</v>
      </c>
      <c r="F157" s="8" t="s">
        <v>239</v>
      </c>
      <c r="G157" s="7" t="s">
        <v>237</v>
      </c>
      <c r="H157" s="7">
        <v>15678547</v>
      </c>
      <c r="I157" s="7"/>
      <c r="J157" s="7" t="s">
        <v>532</v>
      </c>
      <c r="K157" s="8">
        <v>2005</v>
      </c>
      <c r="L157" s="12" t="s">
        <v>533</v>
      </c>
      <c r="N157" s="7" t="s">
        <v>234</v>
      </c>
      <c r="O157" s="7" t="s">
        <v>534</v>
      </c>
      <c r="P157" s="36" t="s">
        <v>235</v>
      </c>
      <c r="Q157" s="36"/>
      <c r="R157" s="36"/>
      <c r="S157" s="36"/>
      <c r="T157" s="36"/>
      <c r="U157" s="36"/>
      <c r="V157" s="7" t="s">
        <v>312</v>
      </c>
      <c r="W157" s="7" t="s">
        <v>237</v>
      </c>
      <c r="X157" s="7" t="s">
        <v>323</v>
      </c>
      <c r="Y157" s="7" t="s">
        <v>323</v>
      </c>
      <c r="Z157" s="7" t="s">
        <v>237</v>
      </c>
      <c r="AB157" s="7" t="s">
        <v>237</v>
      </c>
      <c r="AC157" s="7" t="s">
        <v>940</v>
      </c>
      <c r="AD157" s="7" t="s">
        <v>239</v>
      </c>
      <c r="AE157" s="7" t="s">
        <v>469</v>
      </c>
      <c r="AF157" s="7" t="s">
        <v>239</v>
      </c>
      <c r="AG157" s="7" t="s">
        <v>237</v>
      </c>
      <c r="AH157" s="7" t="s">
        <v>239</v>
      </c>
      <c r="AI157" s="8">
        <v>20</v>
      </c>
      <c r="AK157" s="7" t="s">
        <v>239</v>
      </c>
      <c r="AL157" s="8">
        <v>6000</v>
      </c>
      <c r="AM157" s="7" t="s">
        <v>259</v>
      </c>
      <c r="AN157" s="7" t="s">
        <v>535</v>
      </c>
      <c r="AO157" s="7"/>
      <c r="AP157" s="7"/>
      <c r="AQ157" s="7"/>
      <c r="AR157" s="8">
        <v>64</v>
      </c>
      <c r="AS157" s="7"/>
      <c r="AT157" s="7"/>
      <c r="AU157" s="7"/>
      <c r="AV157" s="7"/>
      <c r="AX157" s="7" t="s">
        <v>253</v>
      </c>
      <c r="AY157" s="7" t="s">
        <v>245</v>
      </c>
      <c r="BB157" s="7" t="s">
        <v>246</v>
      </c>
      <c r="BC157" s="41">
        <v>6.1</v>
      </c>
      <c r="BD157" s="41">
        <v>1.3</v>
      </c>
      <c r="BE157" s="41"/>
      <c r="BF157" s="41">
        <v>6.1</v>
      </c>
      <c r="BG157" s="41">
        <v>1.2</v>
      </c>
      <c r="BH157" s="41"/>
      <c r="BI157" s="42" t="s">
        <v>297</v>
      </c>
      <c r="BJ157" s="8">
        <v>2</v>
      </c>
      <c r="BK157" s="5" t="str">
        <f t="shared" si="151"/>
        <v>Control_greater_than_case</v>
      </c>
      <c r="BP157" s="7" t="s">
        <v>240</v>
      </c>
      <c r="BR157" s="7" t="s">
        <v>247</v>
      </c>
      <c r="BS157" s="7" t="s">
        <v>235</v>
      </c>
      <c r="CG157" s="7" t="s">
        <v>237</v>
      </c>
      <c r="CH157" s="7" t="s">
        <v>237</v>
      </c>
      <c r="CJ157" s="7" t="s">
        <v>239</v>
      </c>
      <c r="CK157" s="7" t="s">
        <v>248</v>
      </c>
      <c r="CL157" s="8">
        <v>40</v>
      </c>
      <c r="CM157" s="8">
        <v>24</v>
      </c>
      <c r="CN157" s="7" t="s">
        <v>249</v>
      </c>
      <c r="CO157" s="7" t="s">
        <v>249</v>
      </c>
      <c r="CP157" s="7" t="s">
        <v>249</v>
      </c>
      <c r="CQ157" s="7" t="s">
        <v>536</v>
      </c>
      <c r="CR157" s="5" t="s">
        <v>537</v>
      </c>
      <c r="CS157" s="42">
        <v>8.8000000000000007</v>
      </c>
      <c r="CT157" s="42">
        <v>5.0999999999999996</v>
      </c>
      <c r="CU157" s="42">
        <v>38.6</v>
      </c>
      <c r="CV157" s="42">
        <v>7.5</v>
      </c>
      <c r="CW157" s="42">
        <v>30.4</v>
      </c>
      <c r="CX157" s="42">
        <v>7</v>
      </c>
      <c r="CY157" s="42">
        <f t="shared" si="97"/>
        <v>35.524999999999999</v>
      </c>
      <c r="CZ157" s="42">
        <f t="shared" si="152"/>
        <v>8.2897431365417642</v>
      </c>
      <c r="DA157" s="7">
        <v>29</v>
      </c>
      <c r="DB157" s="41">
        <f t="shared" si="135"/>
        <v>72.5</v>
      </c>
      <c r="DC157" s="8">
        <v>11</v>
      </c>
      <c r="DD157" s="41">
        <f t="shared" si="153"/>
        <v>45.833333333333329</v>
      </c>
      <c r="DE157" s="28">
        <f t="shared" si="154"/>
        <v>62.5</v>
      </c>
      <c r="DG157" s="8">
        <f t="shared" si="155"/>
        <v>64</v>
      </c>
      <c r="DH157" s="7" t="s">
        <v>237</v>
      </c>
      <c r="DJ157" s="8">
        <v>38</v>
      </c>
      <c r="DK157" s="7" t="s">
        <v>237</v>
      </c>
      <c r="DM157" s="7" t="s">
        <v>538</v>
      </c>
      <c r="DN157" s="7" t="s">
        <v>834</v>
      </c>
      <c r="DO157" s="7" t="s">
        <v>239</v>
      </c>
      <c r="DP157" s="42">
        <v>2</v>
      </c>
      <c r="DQ157" s="42">
        <v>1</v>
      </c>
      <c r="DR157" s="42">
        <v>5.5</v>
      </c>
      <c r="DS157" s="41">
        <f t="shared" si="139"/>
        <v>2.625</v>
      </c>
      <c r="DT157" s="41">
        <f t="shared" si="140"/>
        <v>1.8027756377319946</v>
      </c>
      <c r="JU157" s="7" t="s">
        <v>252</v>
      </c>
    </row>
    <row r="158" spans="1:281" s="8" customFormat="1" ht="20" customHeight="1" x14ac:dyDescent="0.2">
      <c r="A158" s="35">
        <v>76</v>
      </c>
      <c r="B158" s="7" t="s">
        <v>769</v>
      </c>
      <c r="C158" s="7" t="s">
        <v>531</v>
      </c>
      <c r="D158" s="7" t="s">
        <v>231</v>
      </c>
      <c r="E158" s="8">
        <v>34</v>
      </c>
      <c r="F158" s="8" t="s">
        <v>239</v>
      </c>
      <c r="G158" s="7" t="s">
        <v>237</v>
      </c>
      <c r="H158" s="7">
        <v>15678547</v>
      </c>
      <c r="I158" s="7"/>
      <c r="J158" s="7" t="s">
        <v>532</v>
      </c>
      <c r="K158" s="8">
        <v>2005</v>
      </c>
      <c r="L158" s="12" t="s">
        <v>533</v>
      </c>
      <c r="N158" s="7" t="s">
        <v>234</v>
      </c>
      <c r="O158" s="7" t="s">
        <v>534</v>
      </c>
      <c r="P158" s="36" t="s">
        <v>235</v>
      </c>
      <c r="Q158" s="36"/>
      <c r="R158" s="36"/>
      <c r="S158" s="36"/>
      <c r="T158" s="36"/>
      <c r="U158" s="36"/>
      <c r="V158" s="7" t="s">
        <v>312</v>
      </c>
      <c r="W158" s="7" t="s">
        <v>237</v>
      </c>
      <c r="X158" s="7" t="s">
        <v>323</v>
      </c>
      <c r="Y158" s="7" t="s">
        <v>323</v>
      </c>
      <c r="Z158" s="7" t="s">
        <v>237</v>
      </c>
      <c r="AB158" s="7" t="s">
        <v>237</v>
      </c>
      <c r="AC158" s="7" t="s">
        <v>940</v>
      </c>
      <c r="AD158" s="7" t="s">
        <v>239</v>
      </c>
      <c r="AE158" s="7" t="s">
        <v>469</v>
      </c>
      <c r="AF158" s="7" t="s">
        <v>239</v>
      </c>
      <c r="AG158" s="7" t="s">
        <v>237</v>
      </c>
      <c r="AH158" s="7" t="s">
        <v>239</v>
      </c>
      <c r="AI158" s="8">
        <v>20</v>
      </c>
      <c r="AK158" s="7" t="s">
        <v>239</v>
      </c>
      <c r="AL158" s="8">
        <v>6000</v>
      </c>
      <c r="AM158" s="7" t="s">
        <v>259</v>
      </c>
      <c r="AN158" s="7" t="s">
        <v>535</v>
      </c>
      <c r="AO158" s="7"/>
      <c r="AP158" s="7"/>
      <c r="AQ158" s="7"/>
      <c r="AR158" s="8">
        <v>64</v>
      </c>
      <c r="AS158" s="7"/>
      <c r="AT158" s="7"/>
      <c r="AU158" s="7"/>
      <c r="AV158" s="7"/>
      <c r="AX158" s="7" t="s">
        <v>253</v>
      </c>
      <c r="AY158" s="7" t="s">
        <v>245</v>
      </c>
      <c r="BB158" s="7" t="s">
        <v>246</v>
      </c>
      <c r="BC158" s="41">
        <v>6.4</v>
      </c>
      <c r="BD158" s="41">
        <v>1.4</v>
      </c>
      <c r="BE158" s="41"/>
      <c r="BF158" s="41">
        <v>6.1</v>
      </c>
      <c r="BG158" s="41">
        <v>1.2</v>
      </c>
      <c r="BH158" s="41"/>
      <c r="BI158" s="42" t="s">
        <v>297</v>
      </c>
      <c r="BJ158" s="8">
        <v>2</v>
      </c>
      <c r="BK158" s="5" t="str">
        <f t="shared" si="151"/>
        <v>Case_greater_than_control</v>
      </c>
      <c r="BP158" s="7" t="s">
        <v>240</v>
      </c>
      <c r="BR158" s="7" t="s">
        <v>247</v>
      </c>
      <c r="BS158" s="7" t="s">
        <v>235</v>
      </c>
      <c r="CG158" s="7" t="s">
        <v>237</v>
      </c>
      <c r="CH158" s="7" t="s">
        <v>237</v>
      </c>
      <c r="CJ158" s="7" t="s">
        <v>239</v>
      </c>
      <c r="CK158" s="7" t="s">
        <v>248</v>
      </c>
      <c r="CL158" s="8">
        <v>16</v>
      </c>
      <c r="CM158" s="8">
        <v>24</v>
      </c>
      <c r="CN158" s="7" t="s">
        <v>291</v>
      </c>
      <c r="CO158" s="7" t="s">
        <v>291</v>
      </c>
      <c r="CP158" s="7" t="s">
        <v>291</v>
      </c>
      <c r="CQ158" s="7" t="s">
        <v>536</v>
      </c>
      <c r="CR158" s="5" t="s">
        <v>537</v>
      </c>
      <c r="CS158" s="42">
        <v>15.5</v>
      </c>
      <c r="CT158" s="42">
        <v>8.8000000000000007</v>
      </c>
      <c r="CU158" s="42">
        <v>42.8</v>
      </c>
      <c r="CV158" s="42">
        <v>12</v>
      </c>
      <c r="CW158" s="42">
        <v>30.4</v>
      </c>
      <c r="CX158" s="42">
        <v>7</v>
      </c>
      <c r="CY158" s="42">
        <f t="shared" si="97"/>
        <v>35.36</v>
      </c>
      <c r="CZ158" s="42">
        <f t="shared" si="152"/>
        <v>11.051274436311255</v>
      </c>
      <c r="DA158" s="7">
        <v>11</v>
      </c>
      <c r="DB158" s="41">
        <f t="shared" si="135"/>
        <v>68.75</v>
      </c>
      <c r="DC158" s="8">
        <v>11</v>
      </c>
      <c r="DD158" s="41">
        <f t="shared" si="153"/>
        <v>45.833333333333329</v>
      </c>
      <c r="DE158" s="28">
        <f t="shared" si="154"/>
        <v>55.000000000000007</v>
      </c>
      <c r="DG158" s="8">
        <f t="shared" si="155"/>
        <v>40</v>
      </c>
      <c r="DH158" s="7" t="s">
        <v>239</v>
      </c>
      <c r="DJ158" s="8">
        <v>0</v>
      </c>
      <c r="DK158" s="7" t="s">
        <v>237</v>
      </c>
      <c r="DO158" s="7" t="s">
        <v>239</v>
      </c>
      <c r="DP158" s="42">
        <v>6</v>
      </c>
      <c r="DQ158" s="42">
        <v>4</v>
      </c>
      <c r="DR158" s="42">
        <v>8</v>
      </c>
      <c r="DS158" s="41">
        <f t="shared" si="139"/>
        <v>6</v>
      </c>
      <c r="DT158" s="41">
        <f t="shared" si="140"/>
        <v>1.1547005383792515</v>
      </c>
      <c r="JU158" s="7" t="s">
        <v>252</v>
      </c>
    </row>
    <row r="159" spans="1:281" s="8" customFormat="1" ht="20" customHeight="1" x14ac:dyDescent="0.2">
      <c r="A159" s="35">
        <v>76</v>
      </c>
      <c r="B159" s="7" t="s">
        <v>770</v>
      </c>
      <c r="C159" s="7" t="s">
        <v>531</v>
      </c>
      <c r="D159" s="7" t="s">
        <v>231</v>
      </c>
      <c r="E159" s="8">
        <v>34</v>
      </c>
      <c r="F159" s="8" t="s">
        <v>239</v>
      </c>
      <c r="G159" s="7" t="s">
        <v>237</v>
      </c>
      <c r="H159" s="7">
        <v>15678547</v>
      </c>
      <c r="I159" s="7"/>
      <c r="J159" s="7" t="s">
        <v>532</v>
      </c>
      <c r="K159" s="8">
        <v>2005</v>
      </c>
      <c r="L159" s="12" t="s">
        <v>533</v>
      </c>
      <c r="N159" s="7" t="s">
        <v>234</v>
      </c>
      <c r="O159" s="7" t="s">
        <v>534</v>
      </c>
      <c r="P159" s="36" t="s">
        <v>235</v>
      </c>
      <c r="Q159" s="36"/>
      <c r="R159" s="36"/>
      <c r="S159" s="36"/>
      <c r="T159" s="36"/>
      <c r="U159" s="36"/>
      <c r="V159" s="7" t="s">
        <v>312</v>
      </c>
      <c r="W159" s="7" t="s">
        <v>237</v>
      </c>
      <c r="X159" s="7" t="s">
        <v>323</v>
      </c>
      <c r="Y159" s="7" t="s">
        <v>323</v>
      </c>
      <c r="Z159" s="7" t="s">
        <v>237</v>
      </c>
      <c r="AB159" s="7" t="s">
        <v>237</v>
      </c>
      <c r="AC159" s="7" t="s">
        <v>940</v>
      </c>
      <c r="AD159" s="7" t="s">
        <v>239</v>
      </c>
      <c r="AE159" s="7" t="s">
        <v>469</v>
      </c>
      <c r="AF159" s="7" t="s">
        <v>239</v>
      </c>
      <c r="AG159" s="7" t="s">
        <v>237</v>
      </c>
      <c r="AH159" s="7" t="s">
        <v>239</v>
      </c>
      <c r="AI159" s="8">
        <v>20</v>
      </c>
      <c r="AK159" s="7" t="s">
        <v>239</v>
      </c>
      <c r="AL159" s="8">
        <v>6000</v>
      </c>
      <c r="AM159" s="7" t="s">
        <v>259</v>
      </c>
      <c r="AN159" s="7" t="s">
        <v>535</v>
      </c>
      <c r="AO159" s="7"/>
      <c r="AP159" s="7"/>
      <c r="AQ159" s="7"/>
      <c r="AR159" s="8">
        <v>64</v>
      </c>
      <c r="AS159" s="7"/>
      <c r="AT159" s="7"/>
      <c r="AU159" s="7"/>
      <c r="AV159" s="7"/>
      <c r="AX159" s="7" t="s">
        <v>391</v>
      </c>
      <c r="AY159" s="7" t="s">
        <v>245</v>
      </c>
      <c r="BB159" s="7" t="s">
        <v>246</v>
      </c>
      <c r="BC159" s="41">
        <v>0.6</v>
      </c>
      <c r="BD159" s="41">
        <v>0.8</v>
      </c>
      <c r="BE159" s="41"/>
      <c r="BF159" s="41">
        <v>0.6</v>
      </c>
      <c r="BG159" s="41">
        <v>0.8</v>
      </c>
      <c r="BH159" s="41"/>
      <c r="BI159" s="42" t="s">
        <v>297</v>
      </c>
      <c r="BJ159" s="8">
        <v>2</v>
      </c>
      <c r="BK159" s="5" t="str">
        <f t="shared" si="151"/>
        <v>Control_greater_than_case</v>
      </c>
      <c r="BP159" s="7" t="s">
        <v>240</v>
      </c>
      <c r="BR159" s="7" t="s">
        <v>247</v>
      </c>
      <c r="BS159" s="7" t="s">
        <v>235</v>
      </c>
      <c r="CG159" s="7" t="s">
        <v>237</v>
      </c>
      <c r="CH159" s="7" t="s">
        <v>237</v>
      </c>
      <c r="CJ159" s="7" t="s">
        <v>239</v>
      </c>
      <c r="CK159" s="7" t="s">
        <v>248</v>
      </c>
      <c r="CL159" s="8">
        <v>12</v>
      </c>
      <c r="CM159" s="8">
        <v>24</v>
      </c>
      <c r="CN159" s="7" t="s">
        <v>292</v>
      </c>
      <c r="CO159" s="7" t="s">
        <v>292</v>
      </c>
      <c r="CP159" s="7" t="s">
        <v>292</v>
      </c>
      <c r="CQ159" s="7" t="s">
        <v>536</v>
      </c>
      <c r="CR159" s="5" t="s">
        <v>537</v>
      </c>
      <c r="CS159" s="42">
        <v>12.8</v>
      </c>
      <c r="CT159" s="42">
        <v>9.8000000000000007</v>
      </c>
      <c r="CU159" s="42">
        <v>55.6</v>
      </c>
      <c r="CV159" s="42">
        <v>9</v>
      </c>
      <c r="CW159" s="42">
        <v>30.4</v>
      </c>
      <c r="CX159" s="42">
        <v>7</v>
      </c>
      <c r="CY159" s="42">
        <f t="shared" si="97"/>
        <v>38.799999999999997</v>
      </c>
      <c r="CZ159" s="42">
        <f t="shared" si="152"/>
        <v>14.241107501073886</v>
      </c>
      <c r="DA159" s="7">
        <v>6</v>
      </c>
      <c r="DB159" s="41">
        <f t="shared" si="135"/>
        <v>50</v>
      </c>
      <c r="DC159" s="8">
        <v>11</v>
      </c>
      <c r="DD159" s="41">
        <f t="shared" si="153"/>
        <v>45.833333333333329</v>
      </c>
      <c r="DE159" s="28">
        <f t="shared" si="154"/>
        <v>47.222222222222221</v>
      </c>
      <c r="DG159" s="8">
        <f t="shared" si="155"/>
        <v>36</v>
      </c>
      <c r="DH159" s="7" t="s">
        <v>239</v>
      </c>
      <c r="DJ159" s="8">
        <v>0</v>
      </c>
      <c r="DK159" s="7" t="s">
        <v>237</v>
      </c>
      <c r="DO159" s="7" t="s">
        <v>239</v>
      </c>
      <c r="DP159" s="42">
        <v>4.5</v>
      </c>
      <c r="DQ159" s="42">
        <v>3</v>
      </c>
      <c r="DR159" s="42">
        <v>6.5</v>
      </c>
      <c r="DS159" s="41">
        <f t="shared" si="139"/>
        <v>4.625</v>
      </c>
      <c r="DT159" s="41">
        <f t="shared" si="140"/>
        <v>1.0408329997330663</v>
      </c>
      <c r="JU159" s="7" t="s">
        <v>252</v>
      </c>
    </row>
    <row r="160" spans="1:281" s="8" customFormat="1" ht="20" customHeight="1" x14ac:dyDescent="0.2">
      <c r="A160" s="35">
        <v>76</v>
      </c>
      <c r="B160" s="7" t="s">
        <v>771</v>
      </c>
      <c r="C160" s="7" t="s">
        <v>531</v>
      </c>
      <c r="D160" s="7" t="s">
        <v>231</v>
      </c>
      <c r="E160" s="8">
        <v>34</v>
      </c>
      <c r="F160" s="8" t="s">
        <v>239</v>
      </c>
      <c r="G160" s="7" t="s">
        <v>237</v>
      </c>
      <c r="H160" s="7">
        <v>15678547</v>
      </c>
      <c r="I160" s="7"/>
      <c r="J160" s="7" t="s">
        <v>532</v>
      </c>
      <c r="K160" s="8">
        <v>2005</v>
      </c>
      <c r="L160" s="12" t="s">
        <v>533</v>
      </c>
      <c r="N160" s="7" t="s">
        <v>234</v>
      </c>
      <c r="O160" s="7" t="s">
        <v>534</v>
      </c>
      <c r="P160" s="36" t="s">
        <v>235</v>
      </c>
      <c r="Q160" s="36"/>
      <c r="R160" s="36"/>
      <c r="S160" s="36"/>
      <c r="T160" s="36"/>
      <c r="U160" s="36"/>
      <c r="V160" s="7" t="s">
        <v>312</v>
      </c>
      <c r="W160" s="7" t="s">
        <v>237</v>
      </c>
      <c r="X160" s="7" t="s">
        <v>323</v>
      </c>
      <c r="Y160" s="7" t="s">
        <v>323</v>
      </c>
      <c r="Z160" s="7" t="s">
        <v>237</v>
      </c>
      <c r="AB160" s="7" t="s">
        <v>237</v>
      </c>
      <c r="AC160" s="7" t="s">
        <v>940</v>
      </c>
      <c r="AD160" s="7" t="s">
        <v>239</v>
      </c>
      <c r="AE160" s="7" t="s">
        <v>469</v>
      </c>
      <c r="AF160" s="7" t="s">
        <v>239</v>
      </c>
      <c r="AG160" s="7" t="s">
        <v>237</v>
      </c>
      <c r="AH160" s="7" t="s">
        <v>239</v>
      </c>
      <c r="AI160" s="8">
        <v>20</v>
      </c>
      <c r="AK160" s="7" t="s">
        <v>239</v>
      </c>
      <c r="AL160" s="8">
        <v>6000</v>
      </c>
      <c r="AM160" s="7" t="s">
        <v>259</v>
      </c>
      <c r="AN160" s="7" t="s">
        <v>535</v>
      </c>
      <c r="AO160" s="7"/>
      <c r="AP160" s="7"/>
      <c r="AQ160" s="7"/>
      <c r="AR160" s="8">
        <v>64</v>
      </c>
      <c r="AS160" s="7"/>
      <c r="AT160" s="7"/>
      <c r="AU160" s="7"/>
      <c r="AV160" s="7"/>
      <c r="AX160" s="7" t="s">
        <v>391</v>
      </c>
      <c r="AY160" s="7" t="s">
        <v>245</v>
      </c>
      <c r="BB160" s="7" t="s">
        <v>246</v>
      </c>
      <c r="BC160" s="41">
        <v>0.8</v>
      </c>
      <c r="BD160" s="41">
        <v>0.8</v>
      </c>
      <c r="BE160" s="41"/>
      <c r="BF160" s="41">
        <v>0.6</v>
      </c>
      <c r="BG160" s="41">
        <v>0.8</v>
      </c>
      <c r="BH160" s="41"/>
      <c r="BI160" s="42" t="s">
        <v>297</v>
      </c>
      <c r="BJ160" s="8">
        <v>2</v>
      </c>
      <c r="BK160" s="5" t="str">
        <f t="shared" si="151"/>
        <v>Case_greater_than_control</v>
      </c>
      <c r="BP160" s="7" t="s">
        <v>240</v>
      </c>
      <c r="BR160" s="7" t="s">
        <v>247</v>
      </c>
      <c r="BS160" s="7" t="s">
        <v>235</v>
      </c>
      <c r="CG160" s="7" t="s">
        <v>237</v>
      </c>
      <c r="CH160" s="7" t="s">
        <v>237</v>
      </c>
      <c r="CJ160" s="7" t="s">
        <v>239</v>
      </c>
      <c r="CK160" s="7" t="s">
        <v>248</v>
      </c>
      <c r="CL160" s="8">
        <v>40</v>
      </c>
      <c r="CM160" s="8">
        <v>24</v>
      </c>
      <c r="CN160" s="7" t="s">
        <v>249</v>
      </c>
      <c r="CO160" s="7" t="s">
        <v>249</v>
      </c>
      <c r="CP160" s="7" t="s">
        <v>249</v>
      </c>
      <c r="CQ160" s="7" t="s">
        <v>536</v>
      </c>
      <c r="CR160" s="5" t="s">
        <v>537</v>
      </c>
      <c r="CS160" s="42">
        <f>8.8</f>
        <v>8.8000000000000007</v>
      </c>
      <c r="CT160" s="42">
        <v>5.0999999999999996</v>
      </c>
      <c r="CU160" s="42">
        <v>38.6</v>
      </c>
      <c r="CV160" s="42">
        <v>7.5</v>
      </c>
      <c r="CW160" s="42">
        <v>30.4</v>
      </c>
      <c r="CX160" s="42">
        <v>7</v>
      </c>
      <c r="CY160" s="42">
        <f t="shared" si="97"/>
        <v>35.524999999999999</v>
      </c>
      <c r="CZ160" s="42">
        <f t="shared" si="152"/>
        <v>8.2897431365417642</v>
      </c>
      <c r="DA160" s="7">
        <v>29</v>
      </c>
      <c r="DB160" s="41">
        <f t="shared" si="135"/>
        <v>72.5</v>
      </c>
      <c r="DC160" s="8">
        <v>11</v>
      </c>
      <c r="DD160" s="41">
        <f t="shared" si="153"/>
        <v>45.833333333333329</v>
      </c>
      <c r="DE160" s="28">
        <f t="shared" si="154"/>
        <v>62.5</v>
      </c>
      <c r="DG160" s="8">
        <f t="shared" si="155"/>
        <v>64</v>
      </c>
      <c r="DH160" s="7" t="s">
        <v>237</v>
      </c>
      <c r="DJ160" s="8">
        <v>38</v>
      </c>
      <c r="DK160" s="7" t="s">
        <v>237</v>
      </c>
      <c r="DM160" s="7" t="s">
        <v>538</v>
      </c>
      <c r="DN160" s="7" t="s">
        <v>834</v>
      </c>
      <c r="DO160" s="7" t="s">
        <v>239</v>
      </c>
      <c r="DP160" s="42">
        <v>2</v>
      </c>
      <c r="DQ160" s="42">
        <v>1</v>
      </c>
      <c r="DR160" s="42">
        <v>5.5</v>
      </c>
      <c r="DS160" s="41">
        <f t="shared" si="139"/>
        <v>2.625</v>
      </c>
      <c r="DT160" s="41">
        <f t="shared" si="140"/>
        <v>1.8027756377319946</v>
      </c>
      <c r="JU160" s="7" t="s">
        <v>252</v>
      </c>
    </row>
    <row r="161" spans="1:281" s="8" customFormat="1" ht="20" customHeight="1" x14ac:dyDescent="0.2">
      <c r="A161" s="35">
        <v>76</v>
      </c>
      <c r="B161" s="7" t="s">
        <v>772</v>
      </c>
      <c r="C161" s="7" t="s">
        <v>531</v>
      </c>
      <c r="D161" s="7" t="s">
        <v>231</v>
      </c>
      <c r="E161" s="8">
        <v>34</v>
      </c>
      <c r="F161" s="8" t="s">
        <v>239</v>
      </c>
      <c r="G161" s="7" t="s">
        <v>237</v>
      </c>
      <c r="H161" s="7">
        <v>15678547</v>
      </c>
      <c r="I161" s="7"/>
      <c r="J161" s="7" t="s">
        <v>532</v>
      </c>
      <c r="K161" s="8">
        <v>2005</v>
      </c>
      <c r="L161" s="12" t="s">
        <v>533</v>
      </c>
      <c r="N161" s="7" t="s">
        <v>234</v>
      </c>
      <c r="O161" s="7" t="s">
        <v>534</v>
      </c>
      <c r="P161" s="36" t="s">
        <v>235</v>
      </c>
      <c r="Q161" s="36"/>
      <c r="R161" s="36"/>
      <c r="S161" s="36"/>
      <c r="T161" s="36"/>
      <c r="U161" s="36"/>
      <c r="V161" s="7" t="s">
        <v>312</v>
      </c>
      <c r="W161" s="7" t="s">
        <v>237</v>
      </c>
      <c r="X161" s="7" t="s">
        <v>323</v>
      </c>
      <c r="Y161" s="7" t="s">
        <v>323</v>
      </c>
      <c r="Z161" s="7" t="s">
        <v>237</v>
      </c>
      <c r="AB161" s="7" t="s">
        <v>237</v>
      </c>
      <c r="AC161" s="7" t="s">
        <v>940</v>
      </c>
      <c r="AD161" s="7" t="s">
        <v>239</v>
      </c>
      <c r="AE161" s="7" t="s">
        <v>469</v>
      </c>
      <c r="AF161" s="7" t="s">
        <v>239</v>
      </c>
      <c r="AG161" s="7" t="s">
        <v>237</v>
      </c>
      <c r="AH161" s="7" t="s">
        <v>239</v>
      </c>
      <c r="AI161" s="8">
        <v>20</v>
      </c>
      <c r="AK161" s="7" t="s">
        <v>239</v>
      </c>
      <c r="AL161" s="8">
        <v>6000</v>
      </c>
      <c r="AM161" s="7" t="s">
        <v>259</v>
      </c>
      <c r="AN161" s="7" t="s">
        <v>535</v>
      </c>
      <c r="AO161" s="7"/>
      <c r="AP161" s="7"/>
      <c r="AQ161" s="7"/>
      <c r="AR161" s="8">
        <v>64</v>
      </c>
      <c r="AS161" s="7"/>
      <c r="AT161" s="7"/>
      <c r="AU161" s="7"/>
      <c r="AV161" s="7"/>
      <c r="AX161" s="7" t="s">
        <v>391</v>
      </c>
      <c r="AY161" s="7" t="s">
        <v>245</v>
      </c>
      <c r="BB161" s="7" t="s">
        <v>246</v>
      </c>
      <c r="BC161" s="41">
        <v>0.9</v>
      </c>
      <c r="BD161" s="41">
        <v>0.7</v>
      </c>
      <c r="BE161" s="41"/>
      <c r="BF161" s="41">
        <v>0.6</v>
      </c>
      <c r="BG161" s="41">
        <v>0.8</v>
      </c>
      <c r="BH161" s="41"/>
      <c r="BI161" s="42" t="s">
        <v>297</v>
      </c>
      <c r="BJ161" s="8">
        <v>2</v>
      </c>
      <c r="BK161" s="5" t="str">
        <f t="shared" si="151"/>
        <v>Case_greater_than_control</v>
      </c>
      <c r="BP161" s="7" t="s">
        <v>240</v>
      </c>
      <c r="BR161" s="7" t="s">
        <v>247</v>
      </c>
      <c r="BS161" s="7" t="s">
        <v>235</v>
      </c>
      <c r="CG161" s="7" t="s">
        <v>237</v>
      </c>
      <c r="CH161" s="7" t="s">
        <v>237</v>
      </c>
      <c r="CJ161" s="7" t="s">
        <v>239</v>
      </c>
      <c r="CK161" s="7" t="s">
        <v>248</v>
      </c>
      <c r="CL161" s="8">
        <v>16</v>
      </c>
      <c r="CM161" s="8">
        <v>24</v>
      </c>
      <c r="CN161" s="7" t="s">
        <v>291</v>
      </c>
      <c r="CO161" s="7" t="s">
        <v>291</v>
      </c>
      <c r="CP161" s="7" t="s">
        <v>291</v>
      </c>
      <c r="CQ161" s="7" t="s">
        <v>536</v>
      </c>
      <c r="CR161" s="5" t="s">
        <v>537</v>
      </c>
      <c r="CS161" s="42">
        <v>15.5</v>
      </c>
      <c r="CT161" s="42">
        <v>8.8000000000000007</v>
      </c>
      <c r="CU161" s="42">
        <f>42.8</f>
        <v>42.8</v>
      </c>
      <c r="CV161" s="42">
        <v>12</v>
      </c>
      <c r="CW161" s="42">
        <v>30.4</v>
      </c>
      <c r="CX161" s="42">
        <v>7</v>
      </c>
      <c r="CY161" s="42">
        <f t="shared" si="97"/>
        <v>35.36</v>
      </c>
      <c r="CZ161" s="42">
        <f t="shared" si="152"/>
        <v>11.051274436311255</v>
      </c>
      <c r="DA161" s="7">
        <v>11</v>
      </c>
      <c r="DB161" s="41">
        <f t="shared" si="135"/>
        <v>68.75</v>
      </c>
      <c r="DC161" s="8">
        <v>11</v>
      </c>
      <c r="DD161" s="41">
        <f t="shared" si="153"/>
        <v>45.833333333333329</v>
      </c>
      <c r="DE161" s="28">
        <f t="shared" si="154"/>
        <v>55.000000000000007</v>
      </c>
      <c r="DG161" s="8">
        <f t="shared" si="155"/>
        <v>40</v>
      </c>
      <c r="DH161" s="7" t="s">
        <v>239</v>
      </c>
      <c r="DJ161" s="8">
        <v>0</v>
      </c>
      <c r="DK161" s="7" t="s">
        <v>237</v>
      </c>
      <c r="DO161" s="7" t="s">
        <v>239</v>
      </c>
      <c r="DP161" s="42">
        <v>6</v>
      </c>
      <c r="DQ161" s="42">
        <v>4</v>
      </c>
      <c r="DR161" s="42">
        <v>8</v>
      </c>
      <c r="DS161" s="41">
        <f t="shared" si="139"/>
        <v>6</v>
      </c>
      <c r="DT161" s="41">
        <f t="shared" si="140"/>
        <v>1.1547005383792515</v>
      </c>
      <c r="JU161" s="7" t="s">
        <v>252</v>
      </c>
    </row>
    <row r="162" spans="1:281" s="8" customFormat="1" ht="20" customHeight="1" x14ac:dyDescent="0.2">
      <c r="A162" s="35">
        <v>76</v>
      </c>
      <c r="B162" s="7" t="s">
        <v>773</v>
      </c>
      <c r="C162" s="7" t="s">
        <v>531</v>
      </c>
      <c r="D162" s="7" t="s">
        <v>231</v>
      </c>
      <c r="E162" s="8">
        <v>34</v>
      </c>
      <c r="F162" s="8" t="s">
        <v>237</v>
      </c>
      <c r="G162" s="7" t="s">
        <v>237</v>
      </c>
      <c r="H162" s="7">
        <v>15678547</v>
      </c>
      <c r="I162" s="7"/>
      <c r="J162" s="7" t="s">
        <v>532</v>
      </c>
      <c r="K162" s="8">
        <v>2005</v>
      </c>
      <c r="L162" s="12" t="s">
        <v>533</v>
      </c>
      <c r="N162" s="7" t="s">
        <v>234</v>
      </c>
      <c r="O162" s="7" t="s">
        <v>534</v>
      </c>
      <c r="P162" s="36" t="s">
        <v>235</v>
      </c>
      <c r="Q162" s="36"/>
      <c r="R162" s="36"/>
      <c r="S162" s="36"/>
      <c r="T162" s="36"/>
      <c r="U162" s="36"/>
      <c r="V162" s="7" t="s">
        <v>312</v>
      </c>
      <c r="W162" s="7" t="s">
        <v>237</v>
      </c>
      <c r="X162" s="7" t="s">
        <v>323</v>
      </c>
      <c r="Y162" s="7" t="s">
        <v>323</v>
      </c>
      <c r="Z162" s="7" t="s">
        <v>237</v>
      </c>
      <c r="AB162" s="7" t="s">
        <v>237</v>
      </c>
      <c r="AC162" s="7" t="s">
        <v>940</v>
      </c>
      <c r="AD162" s="7" t="s">
        <v>239</v>
      </c>
      <c r="AE162" s="7" t="s">
        <v>469</v>
      </c>
      <c r="AF162" s="7" t="s">
        <v>239</v>
      </c>
      <c r="AG162" s="7" t="s">
        <v>237</v>
      </c>
      <c r="AH162" s="7" t="s">
        <v>239</v>
      </c>
      <c r="AI162" s="8">
        <v>20</v>
      </c>
      <c r="AK162" s="7" t="s">
        <v>239</v>
      </c>
      <c r="AL162" s="8">
        <v>6000</v>
      </c>
      <c r="AM162" s="7" t="s">
        <v>259</v>
      </c>
      <c r="AN162" s="7" t="s">
        <v>535</v>
      </c>
      <c r="AO162" s="7"/>
      <c r="AP162" s="7"/>
      <c r="AQ162" s="7"/>
      <c r="AR162" s="8">
        <v>64</v>
      </c>
      <c r="AS162" s="7"/>
      <c r="AT162" s="7"/>
      <c r="AU162" s="7"/>
      <c r="AV162" s="7"/>
      <c r="AX162" s="7" t="s">
        <v>253</v>
      </c>
      <c r="AY162" s="7" t="s">
        <v>245</v>
      </c>
      <c r="BB162" s="7" t="s">
        <v>246</v>
      </c>
      <c r="BC162" s="41">
        <v>6.4</v>
      </c>
      <c r="BD162" s="41">
        <v>1.3</v>
      </c>
      <c r="BE162" s="41"/>
      <c r="BF162" s="41">
        <v>6.1</v>
      </c>
      <c r="BG162" s="41">
        <v>1.2</v>
      </c>
      <c r="BH162" s="41"/>
      <c r="BI162" s="42" t="s">
        <v>297</v>
      </c>
      <c r="BJ162" s="8">
        <v>2</v>
      </c>
      <c r="BK162" s="5" t="str">
        <f t="shared" si="151"/>
        <v>Case_greater_than_control</v>
      </c>
      <c r="BP162" s="7" t="s">
        <v>240</v>
      </c>
      <c r="BR162" s="7" t="s">
        <v>247</v>
      </c>
      <c r="BS162" s="7" t="s">
        <v>235</v>
      </c>
      <c r="CG162" s="7" t="s">
        <v>237</v>
      </c>
      <c r="CH162" s="7" t="s">
        <v>237</v>
      </c>
      <c r="CJ162" s="7" t="s">
        <v>239</v>
      </c>
      <c r="CK162" s="7" t="s">
        <v>248</v>
      </c>
      <c r="CL162" s="8">
        <v>68</v>
      </c>
      <c r="CM162" s="8">
        <v>25</v>
      </c>
      <c r="CN162" s="7" t="s">
        <v>520</v>
      </c>
      <c r="CO162" s="44" t="s">
        <v>825</v>
      </c>
      <c r="CP162" s="44"/>
      <c r="CQ162" s="7" t="s">
        <v>536</v>
      </c>
      <c r="CR162" s="5" t="s">
        <v>537</v>
      </c>
      <c r="CS162" s="42">
        <v>11.2</v>
      </c>
      <c r="CT162" s="42">
        <v>7.5</v>
      </c>
      <c r="CU162" s="42">
        <v>42.5</v>
      </c>
      <c r="CV162" s="42">
        <v>10.9</v>
      </c>
      <c r="CW162" s="42">
        <v>30.4</v>
      </c>
      <c r="CX162" s="42">
        <v>7</v>
      </c>
      <c r="CY162" s="42">
        <f t="shared" si="97"/>
        <v>39.247311827956992</v>
      </c>
      <c r="CZ162" s="42">
        <f t="shared" si="152"/>
        <v>11.331267738640276</v>
      </c>
      <c r="DA162" s="7">
        <v>46</v>
      </c>
      <c r="DB162" s="41">
        <f t="shared" si="135"/>
        <v>67.64705882352942</v>
      </c>
      <c r="DC162" s="8">
        <v>11</v>
      </c>
      <c r="DD162" s="41">
        <f t="shared" si="153"/>
        <v>44</v>
      </c>
      <c r="DE162" s="28">
        <f t="shared" si="154"/>
        <v>61.29032258064516</v>
      </c>
      <c r="DG162" s="8">
        <f t="shared" si="155"/>
        <v>93</v>
      </c>
      <c r="DH162" s="7"/>
      <c r="DJ162" s="43">
        <f>16/76*100</f>
        <v>21.052631578947366</v>
      </c>
      <c r="DK162" s="7" t="s">
        <v>237</v>
      </c>
      <c r="DM162" s="7" t="s">
        <v>538</v>
      </c>
      <c r="DN162" s="7" t="s">
        <v>834</v>
      </c>
      <c r="DO162" s="7" t="s">
        <v>239</v>
      </c>
      <c r="DP162" s="42">
        <v>3</v>
      </c>
      <c r="DQ162" s="42">
        <v>1</v>
      </c>
      <c r="DR162" s="42">
        <v>8</v>
      </c>
      <c r="DS162" s="41">
        <f t="shared" si="139"/>
        <v>3.75</v>
      </c>
      <c r="DT162" s="41">
        <f t="shared" si="140"/>
        <v>2.5166114784235831</v>
      </c>
      <c r="JU162" s="7" t="s">
        <v>252</v>
      </c>
    </row>
    <row r="163" spans="1:281" s="64" customFormat="1" ht="20" customHeight="1" x14ac:dyDescent="0.2">
      <c r="A163" s="106">
        <v>76</v>
      </c>
      <c r="B163" s="71" t="s">
        <v>774</v>
      </c>
      <c r="C163" s="71" t="s">
        <v>531</v>
      </c>
      <c r="D163" s="71" t="s">
        <v>231</v>
      </c>
      <c r="E163" s="64">
        <v>34</v>
      </c>
      <c r="F163" s="64" t="s">
        <v>237</v>
      </c>
      <c r="G163" s="71" t="s">
        <v>237</v>
      </c>
      <c r="H163" s="71">
        <v>15678547</v>
      </c>
      <c r="I163" s="71"/>
      <c r="J163" s="71" t="s">
        <v>532</v>
      </c>
      <c r="K163" s="64">
        <v>2005</v>
      </c>
      <c r="L163" s="124" t="s">
        <v>533</v>
      </c>
      <c r="N163" s="71" t="s">
        <v>234</v>
      </c>
      <c r="O163" s="71" t="s">
        <v>534</v>
      </c>
      <c r="P163" s="108" t="s">
        <v>235</v>
      </c>
      <c r="Q163" s="108"/>
      <c r="R163" s="108"/>
      <c r="S163" s="108"/>
      <c r="T163" s="108"/>
      <c r="U163" s="108"/>
      <c r="V163" s="71" t="s">
        <v>312</v>
      </c>
      <c r="W163" s="71" t="s">
        <v>237</v>
      </c>
      <c r="X163" s="71" t="s">
        <v>323</v>
      </c>
      <c r="Y163" s="71" t="s">
        <v>323</v>
      </c>
      <c r="Z163" s="71" t="s">
        <v>237</v>
      </c>
      <c r="AB163" s="71" t="s">
        <v>237</v>
      </c>
      <c r="AC163" s="71" t="s">
        <v>940</v>
      </c>
      <c r="AD163" s="71" t="s">
        <v>239</v>
      </c>
      <c r="AE163" s="71" t="s">
        <v>469</v>
      </c>
      <c r="AF163" s="71" t="s">
        <v>239</v>
      </c>
      <c r="AG163" s="71" t="s">
        <v>237</v>
      </c>
      <c r="AH163" s="71" t="s">
        <v>239</v>
      </c>
      <c r="AI163" s="64">
        <v>20</v>
      </c>
      <c r="AK163" s="71" t="s">
        <v>239</v>
      </c>
      <c r="AL163" s="64">
        <v>6000</v>
      </c>
      <c r="AM163" s="71" t="s">
        <v>259</v>
      </c>
      <c r="AN163" s="71" t="s">
        <v>535</v>
      </c>
      <c r="AO163" s="71"/>
      <c r="AP163" s="71"/>
      <c r="AQ163" s="71"/>
      <c r="AR163" s="64">
        <v>64</v>
      </c>
      <c r="AS163" s="71"/>
      <c r="AT163" s="71"/>
      <c r="AU163" s="71"/>
      <c r="AV163" s="71"/>
      <c r="AX163" s="71" t="s">
        <v>391</v>
      </c>
      <c r="AY163" s="71" t="s">
        <v>245</v>
      </c>
      <c r="BB163" s="71" t="s">
        <v>246</v>
      </c>
      <c r="BC163" s="115">
        <v>0.8</v>
      </c>
      <c r="BD163" s="115">
        <v>0.8</v>
      </c>
      <c r="BE163" s="115"/>
      <c r="BF163" s="115">
        <v>0.6</v>
      </c>
      <c r="BG163" s="115">
        <v>0.8</v>
      </c>
      <c r="BH163" s="115"/>
      <c r="BI163" s="116" t="s">
        <v>297</v>
      </c>
      <c r="BJ163" s="64">
        <v>2</v>
      </c>
      <c r="BK163" s="73" t="str">
        <f t="shared" si="151"/>
        <v>Case_greater_than_control</v>
      </c>
      <c r="BP163" s="71" t="s">
        <v>240</v>
      </c>
      <c r="BR163" s="71" t="s">
        <v>247</v>
      </c>
      <c r="BS163" s="71" t="s">
        <v>235</v>
      </c>
      <c r="CG163" s="71" t="s">
        <v>237</v>
      </c>
      <c r="CH163" s="71" t="s">
        <v>237</v>
      </c>
      <c r="CJ163" s="71" t="s">
        <v>239</v>
      </c>
      <c r="CK163" s="71" t="s">
        <v>248</v>
      </c>
      <c r="CL163" s="64">
        <v>68</v>
      </c>
      <c r="CM163" s="64">
        <v>25</v>
      </c>
      <c r="CN163" s="71" t="s">
        <v>520</v>
      </c>
      <c r="CO163" s="113" t="s">
        <v>825</v>
      </c>
      <c r="CP163" s="113"/>
      <c r="CQ163" s="71" t="s">
        <v>536</v>
      </c>
      <c r="CR163" s="73" t="s">
        <v>537</v>
      </c>
      <c r="CS163" s="116">
        <v>11.2</v>
      </c>
      <c r="CT163" s="116">
        <v>7.5</v>
      </c>
      <c r="CU163" s="116">
        <v>42.5</v>
      </c>
      <c r="CV163" s="116">
        <v>10.9</v>
      </c>
      <c r="CW163" s="116">
        <v>30.4</v>
      </c>
      <c r="CX163" s="116">
        <v>7</v>
      </c>
      <c r="CY163" s="116">
        <f t="shared" si="97"/>
        <v>39.247311827956992</v>
      </c>
      <c r="CZ163" s="116">
        <f t="shared" si="152"/>
        <v>11.331267738640276</v>
      </c>
      <c r="DA163" s="71">
        <v>46</v>
      </c>
      <c r="DB163" s="115">
        <f t="shared" si="135"/>
        <v>67.64705882352942</v>
      </c>
      <c r="DC163" s="64">
        <v>11</v>
      </c>
      <c r="DD163" s="115">
        <f t="shared" si="153"/>
        <v>44</v>
      </c>
      <c r="DE163" s="80">
        <f t="shared" si="154"/>
        <v>61.29032258064516</v>
      </c>
      <c r="DG163" s="64">
        <f t="shared" si="155"/>
        <v>93</v>
      </c>
      <c r="DH163" s="71"/>
      <c r="DJ163" s="117">
        <f>16/76*100</f>
        <v>21.052631578947366</v>
      </c>
      <c r="DK163" s="71" t="s">
        <v>237</v>
      </c>
      <c r="DM163" s="71" t="s">
        <v>538</v>
      </c>
      <c r="DN163" s="71" t="s">
        <v>834</v>
      </c>
      <c r="DO163" s="71" t="s">
        <v>239</v>
      </c>
      <c r="DP163" s="116">
        <v>3</v>
      </c>
      <c r="DQ163" s="116">
        <v>1</v>
      </c>
      <c r="DR163" s="116">
        <v>8</v>
      </c>
      <c r="DS163" s="115">
        <f t="shared" si="139"/>
        <v>3.75</v>
      </c>
      <c r="DT163" s="115">
        <f t="shared" si="140"/>
        <v>2.5166114784235831</v>
      </c>
      <c r="JU163" s="71" t="s">
        <v>252</v>
      </c>
    </row>
    <row r="164" spans="1:281" s="97" customFormat="1" ht="20" customHeight="1" x14ac:dyDescent="0.2">
      <c r="A164" s="95"/>
      <c r="L164" s="148"/>
      <c r="P164" s="99"/>
      <c r="Q164" s="99"/>
      <c r="R164" s="99"/>
      <c r="S164" s="99"/>
      <c r="T164" s="99"/>
      <c r="U164" s="99"/>
    </row>
    <row r="165" spans="1:281" s="85" customFormat="1" ht="20" customHeight="1" x14ac:dyDescent="0.2">
      <c r="A165" s="83">
        <v>53</v>
      </c>
      <c r="B165" s="84" t="s">
        <v>775</v>
      </c>
      <c r="C165" s="84" t="s">
        <v>539</v>
      </c>
      <c r="D165" s="84" t="s">
        <v>231</v>
      </c>
      <c r="E165" s="85">
        <v>35</v>
      </c>
      <c r="F165" s="84" t="s">
        <v>239</v>
      </c>
      <c r="G165" s="84" t="s">
        <v>237</v>
      </c>
      <c r="H165" s="84">
        <v>25742985</v>
      </c>
      <c r="I165" s="84" t="s">
        <v>989</v>
      </c>
      <c r="J165" s="85" t="s">
        <v>540</v>
      </c>
      <c r="K165" s="85">
        <v>2015</v>
      </c>
      <c r="L165" s="119" t="s">
        <v>541</v>
      </c>
      <c r="N165" s="84" t="s">
        <v>234</v>
      </c>
      <c r="O165" s="84" t="s">
        <v>542</v>
      </c>
      <c r="P165" s="87" t="s">
        <v>235</v>
      </c>
      <c r="Q165" s="87"/>
      <c r="R165" s="87"/>
      <c r="S165" s="87"/>
      <c r="T165" s="87"/>
      <c r="U165" s="87"/>
      <c r="V165" s="84" t="s">
        <v>312</v>
      </c>
      <c r="W165" s="84" t="s">
        <v>237</v>
      </c>
      <c r="X165" s="84" t="s">
        <v>543</v>
      </c>
      <c r="Y165" s="84" t="s">
        <v>830</v>
      </c>
      <c r="Z165" s="84" t="s">
        <v>237</v>
      </c>
      <c r="AB165" s="84" t="s">
        <v>237</v>
      </c>
      <c r="AC165" s="84" t="s">
        <v>544</v>
      </c>
      <c r="AD165" s="84" t="s">
        <v>239</v>
      </c>
      <c r="AE165" s="84" t="s">
        <v>469</v>
      </c>
      <c r="AF165" s="84" t="s">
        <v>237</v>
      </c>
      <c r="AG165" s="84" t="s">
        <v>237</v>
      </c>
      <c r="AH165" s="84" t="s">
        <v>239</v>
      </c>
      <c r="AI165" s="85">
        <v>30</v>
      </c>
      <c r="AK165" s="84" t="s">
        <v>239</v>
      </c>
      <c r="AL165" s="85">
        <v>3000</v>
      </c>
      <c r="AM165" s="84" t="s">
        <v>241</v>
      </c>
      <c r="AN165" s="84" t="s">
        <v>909</v>
      </c>
      <c r="AO165" s="84" t="s">
        <v>910</v>
      </c>
      <c r="AP165" s="84" t="s">
        <v>893</v>
      </c>
      <c r="AQ165" s="84" t="s">
        <v>911</v>
      </c>
      <c r="AS165" s="84"/>
      <c r="AT165" s="84"/>
      <c r="AU165" s="84"/>
      <c r="AV165" s="84"/>
      <c r="AX165" s="84" t="s">
        <v>253</v>
      </c>
      <c r="AY165" s="84" t="s">
        <v>245</v>
      </c>
      <c r="BB165" s="84" t="s">
        <v>246</v>
      </c>
      <c r="BC165" s="88">
        <v>6.34</v>
      </c>
      <c r="BD165" s="88">
        <v>1.46</v>
      </c>
      <c r="BE165" s="88"/>
      <c r="BF165" s="88">
        <v>6.25</v>
      </c>
      <c r="BG165" s="88">
        <v>0.96</v>
      </c>
      <c r="BH165" s="88"/>
      <c r="BI165" s="84" t="s">
        <v>297</v>
      </c>
      <c r="BJ165" s="85">
        <v>2</v>
      </c>
      <c r="BK165" s="89" t="str">
        <f t="shared" ref="BK165:BK180" si="156">IF(AND(BC165&lt;&gt;"",BF165&lt;&gt;""),IF(BC165&gt;BF165,"Case_greater_than_control","Control_greater_than_case"),"")</f>
        <v>Case_greater_than_control</v>
      </c>
      <c r="BP165" s="84" t="s">
        <v>240</v>
      </c>
      <c r="BR165" s="84" t="s">
        <v>247</v>
      </c>
      <c r="BS165" s="84" t="s">
        <v>235</v>
      </c>
      <c r="CG165" s="84" t="s">
        <v>239</v>
      </c>
      <c r="CH165" s="84" t="s">
        <v>237</v>
      </c>
      <c r="CJ165" s="84" t="s">
        <v>239</v>
      </c>
      <c r="CK165" s="84" t="s">
        <v>248</v>
      </c>
      <c r="CL165" s="85">
        <v>25</v>
      </c>
      <c r="CM165" s="85">
        <v>12</v>
      </c>
      <c r="CN165" s="84" t="s">
        <v>249</v>
      </c>
      <c r="CO165" s="84" t="s">
        <v>249</v>
      </c>
      <c r="CP165" s="84" t="s">
        <v>249</v>
      </c>
      <c r="CQ165" s="89" t="s">
        <v>545</v>
      </c>
      <c r="CR165" s="89" t="s">
        <v>546</v>
      </c>
      <c r="CS165" s="104">
        <v>7.9</v>
      </c>
      <c r="CT165" s="104">
        <v>6.1</v>
      </c>
      <c r="CU165" s="104">
        <v>36</v>
      </c>
      <c r="CV165" s="104">
        <v>8.9</v>
      </c>
      <c r="CW165" s="104">
        <v>37.6</v>
      </c>
      <c r="CX165" s="104">
        <v>8.6999999999999993</v>
      </c>
      <c r="CY165" s="104">
        <f t="shared" si="97"/>
        <v>36.518918918918921</v>
      </c>
      <c r="CZ165" s="104">
        <f t="shared" ref="CZ165:CZ180" si="157">IF(OR(CY165="",CV165="",CX165=""),"",SQRT(((CL165-1)*(CV165^2) + (CM165-1)*(CX165^2) + CL165*(CU165-CY165)^2 + CM165*(CW165-CY165)^2) / (CL165+CM165-1)))</f>
        <v>8.7470419710461691</v>
      </c>
      <c r="DA165" s="84">
        <v>16</v>
      </c>
      <c r="DB165" s="105">
        <f t="shared" si="135"/>
        <v>64</v>
      </c>
      <c r="DC165" s="85">
        <v>9</v>
      </c>
      <c r="DD165" s="105">
        <f t="shared" ref="DD165:DD180" si="158">IF(DC165="","",(DC165/CM165)*100)</f>
        <v>75</v>
      </c>
      <c r="DE165" s="93">
        <f t="shared" ref="DE165:DE180" si="159">IF(AND(DA165&lt;&gt;"",DC165&lt;&gt;""),(DA165+DC165)/(CL165+CM165)*100,
   IF(AND(DB165&lt;&gt;"",DD165&lt;&gt;""),(DB165*CL165 + DD165*CM165)/(CL165+CM165),
   ""))</f>
        <v>67.567567567567565</v>
      </c>
      <c r="DG165" s="85">
        <f t="shared" ref="DG165:DG180" si="160">SUM(CL165,CM165)</f>
        <v>37</v>
      </c>
      <c r="DH165" s="84" t="s">
        <v>237</v>
      </c>
      <c r="DI165" s="85">
        <v>0</v>
      </c>
      <c r="DJ165" s="85">
        <v>100</v>
      </c>
      <c r="DK165" s="84" t="s">
        <v>239</v>
      </c>
      <c r="DM165" s="84" t="s">
        <v>251</v>
      </c>
      <c r="DN165" s="84" t="s">
        <v>251</v>
      </c>
      <c r="DO165" s="84" t="s">
        <v>239</v>
      </c>
      <c r="DP165" s="104">
        <v>3</v>
      </c>
      <c r="DQ165" s="104">
        <v>1.5</v>
      </c>
      <c r="DR165" s="104">
        <v>6.5</v>
      </c>
      <c r="DS165" s="103">
        <f t="shared" si="139"/>
        <v>3.5</v>
      </c>
      <c r="DT165" s="103">
        <f t="shared" si="140"/>
        <v>1.7559422921421233</v>
      </c>
      <c r="JU165" s="84" t="s">
        <v>252</v>
      </c>
    </row>
    <row r="166" spans="1:281" s="8" customFormat="1" ht="20" customHeight="1" x14ac:dyDescent="0.2">
      <c r="A166" s="35">
        <v>53</v>
      </c>
      <c r="B166" s="7" t="s">
        <v>776</v>
      </c>
      <c r="C166" s="7" t="s">
        <v>539</v>
      </c>
      <c r="D166" s="7" t="s">
        <v>231</v>
      </c>
      <c r="E166" s="8">
        <v>35</v>
      </c>
      <c r="F166" s="7" t="s">
        <v>239</v>
      </c>
      <c r="G166" s="7" t="s">
        <v>237</v>
      </c>
      <c r="H166" s="7">
        <v>25742985</v>
      </c>
      <c r="I166" s="7" t="s">
        <v>990</v>
      </c>
      <c r="J166" s="8" t="s">
        <v>540</v>
      </c>
      <c r="K166" s="8">
        <v>2015</v>
      </c>
      <c r="L166" s="12" t="s">
        <v>541</v>
      </c>
      <c r="N166" s="7" t="s">
        <v>234</v>
      </c>
      <c r="O166" s="7" t="s">
        <v>547</v>
      </c>
      <c r="P166" s="36" t="s">
        <v>235</v>
      </c>
      <c r="Q166" s="36"/>
      <c r="R166" s="36"/>
      <c r="S166" s="36"/>
      <c r="T166" s="36"/>
      <c r="U166" s="36"/>
      <c r="V166" s="7" t="s">
        <v>312</v>
      </c>
      <c r="W166" s="7" t="s">
        <v>237</v>
      </c>
      <c r="X166" s="7" t="s">
        <v>543</v>
      </c>
      <c r="Y166" s="7" t="s">
        <v>830</v>
      </c>
      <c r="Z166" s="7" t="s">
        <v>237</v>
      </c>
      <c r="AB166" s="7" t="s">
        <v>237</v>
      </c>
      <c r="AC166" s="7" t="s">
        <v>544</v>
      </c>
      <c r="AD166" s="7" t="s">
        <v>239</v>
      </c>
      <c r="AE166" s="7" t="s">
        <v>469</v>
      </c>
      <c r="AF166" s="7" t="s">
        <v>237</v>
      </c>
      <c r="AG166" s="7" t="s">
        <v>237</v>
      </c>
      <c r="AH166" s="7" t="s">
        <v>239</v>
      </c>
      <c r="AI166" s="8">
        <v>30</v>
      </c>
      <c r="AK166" s="7" t="s">
        <v>239</v>
      </c>
      <c r="AL166" s="8">
        <v>3000</v>
      </c>
      <c r="AM166" s="7" t="s">
        <v>241</v>
      </c>
      <c r="AN166" s="7" t="s">
        <v>909</v>
      </c>
      <c r="AO166" s="7" t="s">
        <v>910</v>
      </c>
      <c r="AP166" s="7" t="s">
        <v>893</v>
      </c>
      <c r="AQ166" s="7" t="s">
        <v>911</v>
      </c>
      <c r="AS166" s="7"/>
      <c r="AT166" s="7"/>
      <c r="AU166" s="7"/>
      <c r="AV166" s="7"/>
      <c r="AX166" s="7" t="s">
        <v>253</v>
      </c>
      <c r="AY166" s="7" t="s">
        <v>245</v>
      </c>
      <c r="BB166" s="7" t="s">
        <v>246</v>
      </c>
      <c r="BC166" s="11">
        <v>5.38</v>
      </c>
      <c r="BD166" s="11">
        <v>1.08</v>
      </c>
      <c r="BE166" s="11"/>
      <c r="BF166" s="11">
        <v>5.49</v>
      </c>
      <c r="BG166" s="11">
        <v>0.72</v>
      </c>
      <c r="BH166" s="11"/>
      <c r="BI166" s="7" t="s">
        <v>297</v>
      </c>
      <c r="BJ166" s="8">
        <v>2</v>
      </c>
      <c r="BK166" s="5" t="str">
        <f t="shared" si="156"/>
        <v>Control_greater_than_case</v>
      </c>
      <c r="BP166" s="7" t="s">
        <v>240</v>
      </c>
      <c r="BR166" s="7" t="s">
        <v>247</v>
      </c>
      <c r="BS166" s="7" t="s">
        <v>235</v>
      </c>
      <c r="CG166" s="7" t="s">
        <v>239</v>
      </c>
      <c r="CH166" s="7" t="s">
        <v>237</v>
      </c>
      <c r="CJ166" s="7" t="s">
        <v>239</v>
      </c>
      <c r="CK166" s="7" t="s">
        <v>248</v>
      </c>
      <c r="CL166" s="8">
        <v>25</v>
      </c>
      <c r="CM166" s="8">
        <v>12</v>
      </c>
      <c r="CN166" s="7" t="s">
        <v>249</v>
      </c>
      <c r="CO166" s="7" t="s">
        <v>249</v>
      </c>
      <c r="CP166" s="7" t="s">
        <v>249</v>
      </c>
      <c r="CQ166" s="5" t="s">
        <v>545</v>
      </c>
      <c r="CR166" s="5" t="s">
        <v>546</v>
      </c>
      <c r="CS166" s="42">
        <v>7.9</v>
      </c>
      <c r="CT166" s="42">
        <v>6.1</v>
      </c>
      <c r="CU166" s="42">
        <v>36</v>
      </c>
      <c r="CV166" s="42">
        <v>8.9</v>
      </c>
      <c r="CW166" s="42">
        <v>37.6</v>
      </c>
      <c r="CX166" s="42">
        <v>8.6999999999999993</v>
      </c>
      <c r="CY166" s="42">
        <f t="shared" si="97"/>
        <v>36.518918918918921</v>
      </c>
      <c r="CZ166" s="42">
        <f t="shared" si="157"/>
        <v>8.7470419710461691</v>
      </c>
      <c r="DA166" s="7">
        <v>16</v>
      </c>
      <c r="DB166" s="43">
        <f t="shared" si="135"/>
        <v>64</v>
      </c>
      <c r="DC166" s="8">
        <v>9</v>
      </c>
      <c r="DD166" s="43">
        <f t="shared" si="158"/>
        <v>75</v>
      </c>
      <c r="DE166" s="28">
        <f t="shared" si="159"/>
        <v>67.567567567567565</v>
      </c>
      <c r="DG166" s="8">
        <f t="shared" si="160"/>
        <v>37</v>
      </c>
      <c r="DH166" s="7" t="s">
        <v>237</v>
      </c>
      <c r="DI166" s="8">
        <v>0</v>
      </c>
      <c r="DJ166" s="8">
        <v>100</v>
      </c>
      <c r="DK166" s="7" t="s">
        <v>239</v>
      </c>
      <c r="DM166" s="7" t="s">
        <v>251</v>
      </c>
      <c r="DN166" s="7" t="s">
        <v>251</v>
      </c>
      <c r="DO166" s="7" t="s">
        <v>239</v>
      </c>
      <c r="DP166" s="42">
        <v>3</v>
      </c>
      <c r="DQ166" s="42">
        <v>1.5</v>
      </c>
      <c r="DR166" s="42">
        <v>6.5</v>
      </c>
      <c r="DS166" s="41">
        <f t="shared" si="139"/>
        <v>3.5</v>
      </c>
      <c r="DT166" s="41">
        <f t="shared" si="140"/>
        <v>1.7559422921421233</v>
      </c>
      <c r="JU166" s="7" t="s">
        <v>252</v>
      </c>
    </row>
    <row r="167" spans="1:281" s="8" customFormat="1" ht="20" customHeight="1" x14ac:dyDescent="0.2">
      <c r="A167" s="35">
        <v>53</v>
      </c>
      <c r="B167" s="7" t="s">
        <v>777</v>
      </c>
      <c r="C167" s="7" t="s">
        <v>539</v>
      </c>
      <c r="D167" s="7" t="s">
        <v>231</v>
      </c>
      <c r="E167" s="8">
        <v>35</v>
      </c>
      <c r="F167" s="7" t="s">
        <v>239</v>
      </c>
      <c r="G167" s="7" t="s">
        <v>237</v>
      </c>
      <c r="H167" s="7">
        <v>25742985</v>
      </c>
      <c r="I167" s="7" t="s">
        <v>991</v>
      </c>
      <c r="J167" s="8" t="s">
        <v>540</v>
      </c>
      <c r="K167" s="8">
        <v>2015</v>
      </c>
      <c r="L167" s="12" t="s">
        <v>541</v>
      </c>
      <c r="N167" s="7" t="s">
        <v>234</v>
      </c>
      <c r="O167" s="7" t="s">
        <v>548</v>
      </c>
      <c r="P167" s="36" t="s">
        <v>235</v>
      </c>
      <c r="Q167" s="36"/>
      <c r="R167" s="36"/>
      <c r="S167" s="36"/>
      <c r="T167" s="36"/>
      <c r="U167" s="36"/>
      <c r="V167" s="7" t="s">
        <v>312</v>
      </c>
      <c r="W167" s="7" t="s">
        <v>237</v>
      </c>
      <c r="X167" s="7" t="s">
        <v>543</v>
      </c>
      <c r="Y167" s="7" t="s">
        <v>830</v>
      </c>
      <c r="Z167" s="7" t="s">
        <v>237</v>
      </c>
      <c r="AB167" s="7" t="s">
        <v>237</v>
      </c>
      <c r="AC167" s="7" t="s">
        <v>544</v>
      </c>
      <c r="AD167" s="7" t="s">
        <v>239</v>
      </c>
      <c r="AE167" s="7" t="s">
        <v>469</v>
      </c>
      <c r="AF167" s="7" t="s">
        <v>237</v>
      </c>
      <c r="AG167" s="7" t="s">
        <v>237</v>
      </c>
      <c r="AH167" s="7" t="s">
        <v>239</v>
      </c>
      <c r="AI167" s="8">
        <v>30</v>
      </c>
      <c r="AK167" s="7" t="s">
        <v>239</v>
      </c>
      <c r="AL167" s="8">
        <v>3000</v>
      </c>
      <c r="AM167" s="7" t="s">
        <v>241</v>
      </c>
      <c r="AN167" s="7" t="s">
        <v>909</v>
      </c>
      <c r="AO167" s="7" t="s">
        <v>910</v>
      </c>
      <c r="AP167" s="7" t="s">
        <v>893</v>
      </c>
      <c r="AQ167" s="7" t="s">
        <v>911</v>
      </c>
      <c r="AS167" s="7"/>
      <c r="AT167" s="7"/>
      <c r="AU167" s="7"/>
      <c r="AV167" s="7"/>
      <c r="AX167" s="7" t="s">
        <v>253</v>
      </c>
      <c r="AY167" s="7" t="s">
        <v>245</v>
      </c>
      <c r="BB167" s="7" t="s">
        <v>246</v>
      </c>
      <c r="BC167" s="11">
        <v>5.17</v>
      </c>
      <c r="BD167" s="11">
        <v>1.34</v>
      </c>
      <c r="BE167" s="11"/>
      <c r="BF167" s="11">
        <v>5.31</v>
      </c>
      <c r="BG167" s="11">
        <v>0.67</v>
      </c>
      <c r="BH167" s="11"/>
      <c r="BI167" s="7" t="s">
        <v>297</v>
      </c>
      <c r="BJ167" s="8">
        <v>2</v>
      </c>
      <c r="BK167" s="5" t="str">
        <f t="shared" si="156"/>
        <v>Control_greater_than_case</v>
      </c>
      <c r="BP167" s="7" t="s">
        <v>240</v>
      </c>
      <c r="BR167" s="7" t="s">
        <v>247</v>
      </c>
      <c r="BS167" s="7" t="s">
        <v>235</v>
      </c>
      <c r="CG167" s="7" t="s">
        <v>239</v>
      </c>
      <c r="CH167" s="7" t="s">
        <v>237</v>
      </c>
      <c r="CJ167" s="7" t="s">
        <v>239</v>
      </c>
      <c r="CK167" s="7" t="s">
        <v>248</v>
      </c>
      <c r="CL167" s="8">
        <v>25</v>
      </c>
      <c r="CM167" s="8">
        <v>12</v>
      </c>
      <c r="CN167" s="7" t="s">
        <v>249</v>
      </c>
      <c r="CO167" s="7" t="s">
        <v>249</v>
      </c>
      <c r="CP167" s="7" t="s">
        <v>249</v>
      </c>
      <c r="CQ167" s="5" t="s">
        <v>545</v>
      </c>
      <c r="CR167" s="5" t="s">
        <v>546</v>
      </c>
      <c r="CS167" s="42">
        <v>7.9</v>
      </c>
      <c r="CT167" s="42">
        <v>6.1</v>
      </c>
      <c r="CU167" s="42">
        <v>36</v>
      </c>
      <c r="CV167" s="42">
        <v>8.9</v>
      </c>
      <c r="CW167" s="42">
        <v>37.6</v>
      </c>
      <c r="CX167" s="42">
        <v>8.6999999999999993</v>
      </c>
      <c r="CY167" s="42">
        <f t="shared" si="97"/>
        <v>36.518918918918921</v>
      </c>
      <c r="CZ167" s="42">
        <f t="shared" si="157"/>
        <v>8.7470419710461691</v>
      </c>
      <c r="DA167" s="7">
        <v>16</v>
      </c>
      <c r="DB167" s="43">
        <f t="shared" si="135"/>
        <v>64</v>
      </c>
      <c r="DC167" s="8">
        <v>9</v>
      </c>
      <c r="DD167" s="43">
        <f t="shared" si="158"/>
        <v>75</v>
      </c>
      <c r="DE167" s="28">
        <f t="shared" si="159"/>
        <v>67.567567567567565</v>
      </c>
      <c r="DG167" s="8">
        <f t="shared" si="160"/>
        <v>37</v>
      </c>
      <c r="DH167" s="7" t="s">
        <v>237</v>
      </c>
      <c r="DI167" s="8">
        <v>0</v>
      </c>
      <c r="DJ167" s="8">
        <v>100</v>
      </c>
      <c r="DK167" s="7" t="s">
        <v>239</v>
      </c>
      <c r="DM167" s="7" t="s">
        <v>251</v>
      </c>
      <c r="DN167" s="7" t="s">
        <v>251</v>
      </c>
      <c r="DO167" s="7" t="s">
        <v>239</v>
      </c>
      <c r="DP167" s="42">
        <v>3</v>
      </c>
      <c r="DQ167" s="42">
        <v>1.5</v>
      </c>
      <c r="DR167" s="42">
        <v>6.5</v>
      </c>
      <c r="DS167" s="41">
        <f t="shared" si="139"/>
        <v>3.5</v>
      </c>
      <c r="DT167" s="41">
        <f t="shared" si="140"/>
        <v>1.7559422921421233</v>
      </c>
      <c r="JU167" s="7" t="s">
        <v>252</v>
      </c>
    </row>
    <row r="168" spans="1:281" s="8" customFormat="1" ht="20" customHeight="1" x14ac:dyDescent="0.2">
      <c r="A168" s="35">
        <v>53</v>
      </c>
      <c r="B168" s="7" t="s">
        <v>778</v>
      </c>
      <c r="C168" s="7" t="s">
        <v>539</v>
      </c>
      <c r="D168" s="7" t="s">
        <v>231</v>
      </c>
      <c r="E168" s="8">
        <v>35</v>
      </c>
      <c r="F168" s="7" t="s">
        <v>239</v>
      </c>
      <c r="G168" s="7" t="s">
        <v>237</v>
      </c>
      <c r="H168" s="7">
        <v>25742985</v>
      </c>
      <c r="I168" s="7" t="s">
        <v>992</v>
      </c>
      <c r="J168" s="8" t="s">
        <v>540</v>
      </c>
      <c r="K168" s="8">
        <v>2015</v>
      </c>
      <c r="L168" s="12" t="s">
        <v>541</v>
      </c>
      <c r="N168" s="7" t="s">
        <v>234</v>
      </c>
      <c r="O168" s="7" t="s">
        <v>542</v>
      </c>
      <c r="P168" s="36" t="s">
        <v>235</v>
      </c>
      <c r="Q168" s="36"/>
      <c r="R168" s="36"/>
      <c r="S168" s="36"/>
      <c r="T168" s="36"/>
      <c r="U168" s="36"/>
      <c r="V168" s="7" t="s">
        <v>312</v>
      </c>
      <c r="W168" s="7" t="s">
        <v>237</v>
      </c>
      <c r="X168" s="7" t="s">
        <v>543</v>
      </c>
      <c r="Y168" s="7" t="s">
        <v>830</v>
      </c>
      <c r="Z168" s="7" t="s">
        <v>237</v>
      </c>
      <c r="AB168" s="7" t="s">
        <v>237</v>
      </c>
      <c r="AC168" s="7" t="s">
        <v>544</v>
      </c>
      <c r="AD168" s="7" t="s">
        <v>239</v>
      </c>
      <c r="AE168" s="7" t="s">
        <v>469</v>
      </c>
      <c r="AF168" s="7" t="s">
        <v>237</v>
      </c>
      <c r="AG168" s="7" t="s">
        <v>237</v>
      </c>
      <c r="AH168" s="7" t="s">
        <v>239</v>
      </c>
      <c r="AI168" s="8">
        <v>30</v>
      </c>
      <c r="AK168" s="7" t="s">
        <v>239</v>
      </c>
      <c r="AL168" s="8">
        <v>3000</v>
      </c>
      <c r="AM168" s="7" t="s">
        <v>241</v>
      </c>
      <c r="AN168" s="7" t="s">
        <v>909</v>
      </c>
      <c r="AO168" s="7" t="s">
        <v>910</v>
      </c>
      <c r="AP168" s="7" t="s">
        <v>893</v>
      </c>
      <c r="AQ168" s="7" t="s">
        <v>911</v>
      </c>
      <c r="AS168" s="7"/>
      <c r="AT168" s="7"/>
      <c r="AU168" s="7"/>
      <c r="AV168" s="7"/>
      <c r="AX168" s="7" t="s">
        <v>253</v>
      </c>
      <c r="AY168" s="7" t="s">
        <v>245</v>
      </c>
      <c r="BB168" s="7" t="s">
        <v>246</v>
      </c>
      <c r="BC168" s="11">
        <v>5.86</v>
      </c>
      <c r="BD168" s="11">
        <v>1.18</v>
      </c>
      <c r="BE168" s="11"/>
      <c r="BF168" s="11">
        <v>6.25</v>
      </c>
      <c r="BG168" s="11">
        <v>0.96</v>
      </c>
      <c r="BH168" s="11"/>
      <c r="BI168" s="7" t="s">
        <v>297</v>
      </c>
      <c r="BJ168" s="8">
        <v>2</v>
      </c>
      <c r="BK168" s="5" t="str">
        <f t="shared" si="156"/>
        <v>Control_greater_than_case</v>
      </c>
      <c r="BP168" s="7" t="s">
        <v>240</v>
      </c>
      <c r="BR168" s="7" t="s">
        <v>247</v>
      </c>
      <c r="BS168" s="7" t="s">
        <v>235</v>
      </c>
      <c r="CG168" s="7" t="s">
        <v>239</v>
      </c>
      <c r="CH168" s="7" t="s">
        <v>237</v>
      </c>
      <c r="CJ168" s="7" t="s">
        <v>239</v>
      </c>
      <c r="CK168" s="7" t="s">
        <v>248</v>
      </c>
      <c r="CL168" s="8">
        <v>18</v>
      </c>
      <c r="CM168" s="8">
        <v>12</v>
      </c>
      <c r="CN168" s="7" t="s">
        <v>249</v>
      </c>
      <c r="CO168" s="7" t="s">
        <v>249</v>
      </c>
      <c r="CP168" s="7" t="s">
        <v>249</v>
      </c>
      <c r="CQ168" s="5" t="s">
        <v>549</v>
      </c>
      <c r="CR168" s="5" t="s">
        <v>546</v>
      </c>
      <c r="CS168" s="42">
        <v>8.8000000000000007</v>
      </c>
      <c r="CT168" s="42">
        <v>5.3</v>
      </c>
      <c r="CU168" s="42">
        <v>38.200000000000003</v>
      </c>
      <c r="CV168" s="42">
        <v>5</v>
      </c>
      <c r="CW168" s="42">
        <v>37.6</v>
      </c>
      <c r="CX168" s="42">
        <v>8.6999999999999993</v>
      </c>
      <c r="CY168" s="42">
        <f t="shared" si="97"/>
        <v>37.960000000000008</v>
      </c>
      <c r="CZ168" s="42">
        <f t="shared" si="157"/>
        <v>6.5920066538299178</v>
      </c>
      <c r="DA168" s="7">
        <v>9</v>
      </c>
      <c r="DB168" s="43">
        <f t="shared" si="135"/>
        <v>50</v>
      </c>
      <c r="DC168" s="8">
        <v>9</v>
      </c>
      <c r="DD168" s="43">
        <f t="shared" si="158"/>
        <v>75</v>
      </c>
      <c r="DE168" s="28">
        <f t="shared" si="159"/>
        <v>60</v>
      </c>
      <c r="DG168" s="8">
        <f t="shared" si="160"/>
        <v>30</v>
      </c>
      <c r="DH168" s="7" t="s">
        <v>237</v>
      </c>
      <c r="DI168" s="8">
        <v>0</v>
      </c>
      <c r="DJ168" s="8">
        <v>100</v>
      </c>
      <c r="DK168" s="7" t="s">
        <v>239</v>
      </c>
      <c r="DM168" s="7" t="s">
        <v>550</v>
      </c>
      <c r="DN168" s="7" t="s">
        <v>835</v>
      </c>
      <c r="DO168" s="7" t="s">
        <v>239</v>
      </c>
      <c r="DP168" s="42">
        <v>2.5</v>
      </c>
      <c r="DQ168" s="42">
        <v>1</v>
      </c>
      <c r="DR168" s="42">
        <v>6.5</v>
      </c>
      <c r="DS168" s="41">
        <f t="shared" si="139"/>
        <v>3.125</v>
      </c>
      <c r="DT168" s="41">
        <f t="shared" si="140"/>
        <v>2.0207259421636903</v>
      </c>
      <c r="JU168" s="7" t="s">
        <v>252</v>
      </c>
    </row>
    <row r="169" spans="1:281" s="8" customFormat="1" ht="20" customHeight="1" x14ac:dyDescent="0.2">
      <c r="A169" s="35">
        <v>53</v>
      </c>
      <c r="B169" s="7" t="s">
        <v>779</v>
      </c>
      <c r="C169" s="7" t="s">
        <v>539</v>
      </c>
      <c r="D169" s="7" t="s">
        <v>231</v>
      </c>
      <c r="E169" s="8">
        <v>35</v>
      </c>
      <c r="F169" s="7" t="s">
        <v>239</v>
      </c>
      <c r="G169" s="7" t="s">
        <v>237</v>
      </c>
      <c r="H169" s="7">
        <v>25742985</v>
      </c>
      <c r="I169" s="7" t="s">
        <v>993</v>
      </c>
      <c r="J169" s="8" t="s">
        <v>540</v>
      </c>
      <c r="K169" s="8">
        <v>2015</v>
      </c>
      <c r="L169" s="12" t="s">
        <v>541</v>
      </c>
      <c r="N169" s="7" t="s">
        <v>234</v>
      </c>
      <c r="O169" s="7" t="s">
        <v>547</v>
      </c>
      <c r="P169" s="36" t="s">
        <v>235</v>
      </c>
      <c r="Q169" s="36"/>
      <c r="R169" s="36"/>
      <c r="S169" s="36"/>
      <c r="T169" s="36"/>
      <c r="U169" s="36"/>
      <c r="V169" s="7" t="s">
        <v>312</v>
      </c>
      <c r="W169" s="7" t="s">
        <v>237</v>
      </c>
      <c r="X169" s="7" t="s">
        <v>543</v>
      </c>
      <c r="Y169" s="7" t="s">
        <v>830</v>
      </c>
      <c r="Z169" s="7" t="s">
        <v>237</v>
      </c>
      <c r="AB169" s="7" t="s">
        <v>237</v>
      </c>
      <c r="AC169" s="7" t="s">
        <v>544</v>
      </c>
      <c r="AD169" s="7" t="s">
        <v>239</v>
      </c>
      <c r="AE169" s="7" t="s">
        <v>469</v>
      </c>
      <c r="AF169" s="7" t="s">
        <v>237</v>
      </c>
      <c r="AG169" s="7" t="s">
        <v>237</v>
      </c>
      <c r="AH169" s="7" t="s">
        <v>239</v>
      </c>
      <c r="AI169" s="8">
        <v>30</v>
      </c>
      <c r="AK169" s="7" t="s">
        <v>239</v>
      </c>
      <c r="AL169" s="8">
        <v>3000</v>
      </c>
      <c r="AM169" s="7" t="s">
        <v>241</v>
      </c>
      <c r="AN169" s="7" t="s">
        <v>909</v>
      </c>
      <c r="AO169" s="7" t="s">
        <v>910</v>
      </c>
      <c r="AP169" s="7" t="s">
        <v>893</v>
      </c>
      <c r="AQ169" s="7" t="s">
        <v>911</v>
      </c>
      <c r="AS169" s="7"/>
      <c r="AT169" s="7"/>
      <c r="AU169" s="7"/>
      <c r="AV169" s="7"/>
      <c r="AX169" s="7" t="s">
        <v>253</v>
      </c>
      <c r="AY169" s="7" t="s">
        <v>245</v>
      </c>
      <c r="BB169" s="7" t="s">
        <v>246</v>
      </c>
      <c r="BC169" s="11">
        <v>5.5</v>
      </c>
      <c r="BD169" s="11">
        <v>0.91</v>
      </c>
      <c r="BE169" s="11"/>
      <c r="BF169" s="11">
        <v>5.49</v>
      </c>
      <c r="BG169" s="11">
        <v>0.72</v>
      </c>
      <c r="BH169" s="11"/>
      <c r="BI169" s="7" t="s">
        <v>297</v>
      </c>
      <c r="BJ169" s="8">
        <v>2</v>
      </c>
      <c r="BK169" s="5" t="str">
        <f t="shared" si="156"/>
        <v>Case_greater_than_control</v>
      </c>
      <c r="BP169" s="7" t="s">
        <v>240</v>
      </c>
      <c r="BR169" s="7" t="s">
        <v>247</v>
      </c>
      <c r="BS169" s="7" t="s">
        <v>235</v>
      </c>
      <c r="CG169" s="7" t="s">
        <v>239</v>
      </c>
      <c r="CH169" s="7" t="s">
        <v>237</v>
      </c>
      <c r="CJ169" s="7" t="s">
        <v>239</v>
      </c>
      <c r="CK169" s="7" t="s">
        <v>248</v>
      </c>
      <c r="CL169" s="8">
        <v>18</v>
      </c>
      <c r="CM169" s="8">
        <v>12</v>
      </c>
      <c r="CN169" s="7" t="s">
        <v>249</v>
      </c>
      <c r="CO169" s="7" t="s">
        <v>249</v>
      </c>
      <c r="CP169" s="7" t="s">
        <v>249</v>
      </c>
      <c r="CQ169" s="5" t="s">
        <v>549</v>
      </c>
      <c r="CR169" s="5" t="s">
        <v>546</v>
      </c>
      <c r="CS169" s="42">
        <v>8.8000000000000007</v>
      </c>
      <c r="CT169" s="42">
        <v>5.3</v>
      </c>
      <c r="CU169" s="42">
        <v>38.200000000000003</v>
      </c>
      <c r="CV169" s="42">
        <v>5</v>
      </c>
      <c r="CW169" s="42">
        <v>37.6</v>
      </c>
      <c r="CX169" s="42">
        <v>8.6999999999999993</v>
      </c>
      <c r="CY169" s="42">
        <f t="shared" si="97"/>
        <v>37.960000000000008</v>
      </c>
      <c r="CZ169" s="42">
        <f t="shared" si="157"/>
        <v>6.5920066538299178</v>
      </c>
      <c r="DA169" s="7">
        <v>9</v>
      </c>
      <c r="DB169" s="43">
        <f t="shared" si="135"/>
        <v>50</v>
      </c>
      <c r="DC169" s="8">
        <v>9</v>
      </c>
      <c r="DD169" s="43">
        <f t="shared" si="158"/>
        <v>75</v>
      </c>
      <c r="DE169" s="28">
        <f t="shared" si="159"/>
        <v>60</v>
      </c>
      <c r="DG169" s="8">
        <f t="shared" si="160"/>
        <v>30</v>
      </c>
      <c r="DH169" s="7" t="s">
        <v>237</v>
      </c>
      <c r="DI169" s="8">
        <v>0</v>
      </c>
      <c r="DJ169" s="8">
        <v>100</v>
      </c>
      <c r="DK169" s="7" t="s">
        <v>239</v>
      </c>
      <c r="DM169" s="7" t="s">
        <v>550</v>
      </c>
      <c r="DN169" s="7" t="s">
        <v>835</v>
      </c>
      <c r="DO169" s="7" t="s">
        <v>239</v>
      </c>
      <c r="DP169" s="42">
        <v>2.5</v>
      </c>
      <c r="DQ169" s="42">
        <v>1</v>
      </c>
      <c r="DR169" s="42">
        <v>6.5</v>
      </c>
      <c r="DS169" s="41">
        <f t="shared" si="139"/>
        <v>3.125</v>
      </c>
      <c r="DT169" s="41">
        <f t="shared" si="140"/>
        <v>2.0207259421636903</v>
      </c>
      <c r="JU169" s="7" t="s">
        <v>252</v>
      </c>
    </row>
    <row r="170" spans="1:281" s="8" customFormat="1" ht="20" customHeight="1" x14ac:dyDescent="0.2">
      <c r="A170" s="35">
        <v>53</v>
      </c>
      <c r="B170" s="7" t="s">
        <v>780</v>
      </c>
      <c r="C170" s="7" t="s">
        <v>539</v>
      </c>
      <c r="D170" s="7" t="s">
        <v>231</v>
      </c>
      <c r="E170" s="8">
        <v>35</v>
      </c>
      <c r="F170" s="7" t="s">
        <v>239</v>
      </c>
      <c r="G170" s="7" t="s">
        <v>237</v>
      </c>
      <c r="H170" s="7">
        <v>25742985</v>
      </c>
      <c r="I170" s="7" t="s">
        <v>994</v>
      </c>
      <c r="J170" s="8" t="s">
        <v>540</v>
      </c>
      <c r="K170" s="8">
        <v>2015</v>
      </c>
      <c r="L170" s="12" t="s">
        <v>541</v>
      </c>
      <c r="N170" s="7" t="s">
        <v>234</v>
      </c>
      <c r="O170" s="7" t="s">
        <v>548</v>
      </c>
      <c r="P170" s="36" t="s">
        <v>235</v>
      </c>
      <c r="Q170" s="36"/>
      <c r="R170" s="36"/>
      <c r="S170" s="36"/>
      <c r="T170" s="36"/>
      <c r="U170" s="36"/>
      <c r="V170" s="7" t="s">
        <v>312</v>
      </c>
      <c r="W170" s="7" t="s">
        <v>237</v>
      </c>
      <c r="X170" s="7" t="s">
        <v>543</v>
      </c>
      <c r="Y170" s="7" t="s">
        <v>830</v>
      </c>
      <c r="Z170" s="7" t="s">
        <v>237</v>
      </c>
      <c r="AB170" s="7" t="s">
        <v>237</v>
      </c>
      <c r="AC170" s="7" t="s">
        <v>544</v>
      </c>
      <c r="AD170" s="7" t="s">
        <v>239</v>
      </c>
      <c r="AE170" s="7" t="s">
        <v>469</v>
      </c>
      <c r="AF170" s="7" t="s">
        <v>237</v>
      </c>
      <c r="AG170" s="7" t="s">
        <v>237</v>
      </c>
      <c r="AH170" s="7" t="s">
        <v>239</v>
      </c>
      <c r="AI170" s="8">
        <v>30</v>
      </c>
      <c r="AK170" s="7" t="s">
        <v>239</v>
      </c>
      <c r="AL170" s="8">
        <v>3000</v>
      </c>
      <c r="AM170" s="7" t="s">
        <v>241</v>
      </c>
      <c r="AN170" s="7" t="s">
        <v>909</v>
      </c>
      <c r="AO170" s="7" t="s">
        <v>910</v>
      </c>
      <c r="AP170" s="7" t="s">
        <v>893</v>
      </c>
      <c r="AQ170" s="7" t="s">
        <v>911</v>
      </c>
      <c r="AS170" s="7"/>
      <c r="AT170" s="7"/>
      <c r="AU170" s="7"/>
      <c r="AV170" s="7"/>
      <c r="AX170" s="7" t="s">
        <v>253</v>
      </c>
      <c r="AY170" s="7" t="s">
        <v>245</v>
      </c>
      <c r="BB170" s="7" t="s">
        <v>246</v>
      </c>
      <c r="BC170" s="11">
        <v>5.37</v>
      </c>
      <c r="BD170" s="11">
        <v>1.57</v>
      </c>
      <c r="BE170" s="11"/>
      <c r="BF170" s="11">
        <v>5.31</v>
      </c>
      <c r="BG170" s="11">
        <v>0.67</v>
      </c>
      <c r="BH170" s="11"/>
      <c r="BI170" s="7" t="s">
        <v>297</v>
      </c>
      <c r="BJ170" s="8">
        <v>2</v>
      </c>
      <c r="BK170" s="5" t="str">
        <f t="shared" si="156"/>
        <v>Case_greater_than_control</v>
      </c>
      <c r="BP170" s="7" t="s">
        <v>240</v>
      </c>
      <c r="BR170" s="7" t="s">
        <v>247</v>
      </c>
      <c r="BS170" s="7" t="s">
        <v>235</v>
      </c>
      <c r="CG170" s="7" t="s">
        <v>239</v>
      </c>
      <c r="CH170" s="7" t="s">
        <v>237</v>
      </c>
      <c r="CJ170" s="7" t="s">
        <v>239</v>
      </c>
      <c r="CK170" s="7" t="s">
        <v>248</v>
      </c>
      <c r="CL170" s="8">
        <v>18</v>
      </c>
      <c r="CM170" s="8">
        <v>12</v>
      </c>
      <c r="CN170" s="7" t="s">
        <v>249</v>
      </c>
      <c r="CO170" s="7" t="s">
        <v>249</v>
      </c>
      <c r="CP170" s="7" t="s">
        <v>249</v>
      </c>
      <c r="CQ170" s="5" t="s">
        <v>549</v>
      </c>
      <c r="CR170" s="5" t="s">
        <v>546</v>
      </c>
      <c r="CS170" s="42">
        <v>8.8000000000000007</v>
      </c>
      <c r="CT170" s="42">
        <v>5.3</v>
      </c>
      <c r="CU170" s="42">
        <v>38.200000000000003</v>
      </c>
      <c r="CV170" s="42">
        <v>5</v>
      </c>
      <c r="CW170" s="42">
        <v>37.6</v>
      </c>
      <c r="CX170" s="42">
        <v>8.6999999999999993</v>
      </c>
      <c r="CY170" s="42">
        <f t="shared" ref="CY170:CY180" si="161">IF(OR(CU170="",CW170="",CL170="",CM170="",CL170+CM170=0),"",(CU170*CL170+CW170*CM170)/(CL170+CM170))</f>
        <v>37.960000000000008</v>
      </c>
      <c r="CZ170" s="42">
        <f t="shared" si="157"/>
        <v>6.5920066538299178</v>
      </c>
      <c r="DA170" s="7">
        <v>9</v>
      </c>
      <c r="DB170" s="43">
        <f t="shared" si="135"/>
        <v>50</v>
      </c>
      <c r="DC170" s="8">
        <v>9</v>
      </c>
      <c r="DD170" s="43">
        <f t="shared" si="158"/>
        <v>75</v>
      </c>
      <c r="DE170" s="28">
        <f t="shared" si="159"/>
        <v>60</v>
      </c>
      <c r="DG170" s="8">
        <f t="shared" si="160"/>
        <v>30</v>
      </c>
      <c r="DH170" s="7" t="s">
        <v>237</v>
      </c>
      <c r="DI170" s="8">
        <v>0</v>
      </c>
      <c r="DJ170" s="8">
        <v>100</v>
      </c>
      <c r="DK170" s="7" t="s">
        <v>239</v>
      </c>
      <c r="DM170" s="7" t="s">
        <v>550</v>
      </c>
      <c r="DN170" s="7" t="s">
        <v>835</v>
      </c>
      <c r="DO170" s="7" t="s">
        <v>239</v>
      </c>
      <c r="DP170" s="42">
        <v>2.5</v>
      </c>
      <c r="DQ170" s="42">
        <v>1</v>
      </c>
      <c r="DR170" s="42">
        <v>6.5</v>
      </c>
      <c r="DS170" s="41">
        <f t="shared" si="139"/>
        <v>3.125</v>
      </c>
      <c r="DT170" s="41">
        <f t="shared" si="140"/>
        <v>2.0207259421636903</v>
      </c>
      <c r="JU170" s="7" t="s">
        <v>252</v>
      </c>
    </row>
    <row r="171" spans="1:281" s="8" customFormat="1" ht="20" customHeight="1" x14ac:dyDescent="0.2">
      <c r="A171" s="35">
        <v>53</v>
      </c>
      <c r="B171" s="7" t="s">
        <v>781</v>
      </c>
      <c r="C171" s="7" t="s">
        <v>539</v>
      </c>
      <c r="D171" s="7" t="s">
        <v>231</v>
      </c>
      <c r="E171" s="8">
        <v>35</v>
      </c>
      <c r="F171" s="7" t="s">
        <v>239</v>
      </c>
      <c r="G171" s="7" t="s">
        <v>237</v>
      </c>
      <c r="H171" s="7">
        <v>25742985</v>
      </c>
      <c r="I171" s="7" t="s">
        <v>995</v>
      </c>
      <c r="J171" s="8" t="s">
        <v>540</v>
      </c>
      <c r="K171" s="8">
        <v>2015</v>
      </c>
      <c r="L171" s="12" t="s">
        <v>541</v>
      </c>
      <c r="N171" s="7" t="s">
        <v>234</v>
      </c>
      <c r="O171" s="7" t="s">
        <v>551</v>
      </c>
      <c r="P171" s="36" t="s">
        <v>254</v>
      </c>
      <c r="Q171" s="36"/>
      <c r="R171" s="36"/>
      <c r="S171" s="36"/>
      <c r="T171" s="36"/>
      <c r="U171" s="36"/>
      <c r="V171" s="7" t="s">
        <v>312</v>
      </c>
      <c r="W171" s="7" t="s">
        <v>237</v>
      </c>
      <c r="X171" s="7" t="s">
        <v>543</v>
      </c>
      <c r="Y171" s="7" t="s">
        <v>830</v>
      </c>
      <c r="Z171" s="7" t="s">
        <v>237</v>
      </c>
      <c r="AB171" s="7" t="s">
        <v>237</v>
      </c>
      <c r="AC171" s="7" t="s">
        <v>544</v>
      </c>
      <c r="AD171" s="7" t="s">
        <v>239</v>
      </c>
      <c r="AE171" s="7" t="s">
        <v>469</v>
      </c>
      <c r="AF171" s="7" t="s">
        <v>237</v>
      </c>
      <c r="AG171" s="7" t="s">
        <v>237</v>
      </c>
      <c r="AH171" s="7" t="s">
        <v>239</v>
      </c>
      <c r="AI171" s="8">
        <v>30</v>
      </c>
      <c r="AK171" s="7" t="s">
        <v>239</v>
      </c>
      <c r="AL171" s="8">
        <v>3000</v>
      </c>
      <c r="AM171" s="7" t="s">
        <v>241</v>
      </c>
      <c r="AN171" s="7" t="s">
        <v>909</v>
      </c>
      <c r="AO171" s="7" t="s">
        <v>910</v>
      </c>
      <c r="AP171" s="7" t="s">
        <v>893</v>
      </c>
      <c r="AQ171" s="7" t="s">
        <v>911</v>
      </c>
      <c r="AS171" s="7"/>
      <c r="AT171" s="7"/>
      <c r="AU171" s="7"/>
      <c r="AV171" s="7"/>
      <c r="AX171" s="7" t="s">
        <v>253</v>
      </c>
      <c r="AY171" s="7" t="s">
        <v>245</v>
      </c>
      <c r="BB171" s="7" t="s">
        <v>246</v>
      </c>
      <c r="BC171" s="11">
        <v>5.36</v>
      </c>
      <c r="BD171" s="11">
        <v>1.1299999999999999</v>
      </c>
      <c r="BE171" s="11"/>
      <c r="BF171" s="11">
        <v>6.25</v>
      </c>
      <c r="BG171" s="11">
        <v>0.96</v>
      </c>
      <c r="BH171" s="11"/>
      <c r="BI171" s="7" t="s">
        <v>297</v>
      </c>
      <c r="BJ171" s="8">
        <v>2</v>
      </c>
      <c r="BK171" s="5" t="str">
        <f t="shared" si="156"/>
        <v>Control_greater_than_case</v>
      </c>
      <c r="BP171" s="7" t="s">
        <v>240</v>
      </c>
      <c r="BR171" s="7" t="s">
        <v>247</v>
      </c>
      <c r="BS171" s="7" t="s">
        <v>254</v>
      </c>
      <c r="CG171" s="7" t="s">
        <v>239</v>
      </c>
      <c r="CH171" s="7" t="s">
        <v>237</v>
      </c>
      <c r="CJ171" s="7" t="s">
        <v>239</v>
      </c>
      <c r="CK171" s="7" t="s">
        <v>248</v>
      </c>
      <c r="CL171" s="8">
        <v>25</v>
      </c>
      <c r="CM171" s="8">
        <v>12</v>
      </c>
      <c r="CN171" s="7" t="s">
        <v>249</v>
      </c>
      <c r="CO171" s="7" t="s">
        <v>249</v>
      </c>
      <c r="CP171" s="7" t="s">
        <v>249</v>
      </c>
      <c r="CQ171" s="5" t="s">
        <v>545</v>
      </c>
      <c r="CR171" s="5" t="s">
        <v>546</v>
      </c>
      <c r="CS171" s="42">
        <v>7.9</v>
      </c>
      <c r="CT171" s="42">
        <v>6.1</v>
      </c>
      <c r="CU171" s="42">
        <v>36</v>
      </c>
      <c r="CV171" s="42">
        <v>8.9</v>
      </c>
      <c r="CW171" s="42">
        <v>37.6</v>
      </c>
      <c r="CX171" s="42">
        <v>8.6999999999999993</v>
      </c>
      <c r="CY171" s="42">
        <f t="shared" si="161"/>
        <v>36.518918918918921</v>
      </c>
      <c r="CZ171" s="42">
        <f t="shared" si="157"/>
        <v>8.7470419710461691</v>
      </c>
      <c r="DA171" s="7">
        <v>16</v>
      </c>
      <c r="DB171" s="43">
        <f t="shared" si="135"/>
        <v>64</v>
      </c>
      <c r="DC171" s="8">
        <v>9</v>
      </c>
      <c r="DD171" s="43">
        <f t="shared" si="158"/>
        <v>75</v>
      </c>
      <c r="DE171" s="28">
        <f t="shared" si="159"/>
        <v>67.567567567567565</v>
      </c>
      <c r="DG171" s="8">
        <f t="shared" si="160"/>
        <v>37</v>
      </c>
      <c r="DH171" s="7" t="s">
        <v>237</v>
      </c>
      <c r="DI171" s="8">
        <v>0</v>
      </c>
      <c r="DJ171" s="8">
        <v>100</v>
      </c>
      <c r="DK171" s="7" t="s">
        <v>239</v>
      </c>
      <c r="DM171" s="7" t="s">
        <v>251</v>
      </c>
      <c r="DN171" s="7" t="s">
        <v>251</v>
      </c>
      <c r="DO171" s="7" t="s">
        <v>239</v>
      </c>
      <c r="DP171" s="42">
        <v>3</v>
      </c>
      <c r="DQ171" s="42">
        <v>1.5</v>
      </c>
      <c r="DR171" s="42">
        <v>6.5</v>
      </c>
      <c r="DS171" s="41">
        <f t="shared" si="139"/>
        <v>3.5</v>
      </c>
      <c r="DT171" s="41">
        <f t="shared" si="140"/>
        <v>1.7559422921421233</v>
      </c>
      <c r="JU171" s="7" t="s">
        <v>252</v>
      </c>
    </row>
    <row r="172" spans="1:281" s="8" customFormat="1" ht="20" customHeight="1" x14ac:dyDescent="0.2">
      <c r="A172" s="35">
        <v>53</v>
      </c>
      <c r="B172" s="7" t="s">
        <v>782</v>
      </c>
      <c r="C172" s="7" t="s">
        <v>539</v>
      </c>
      <c r="D172" s="7" t="s">
        <v>231</v>
      </c>
      <c r="E172" s="8">
        <v>35</v>
      </c>
      <c r="F172" s="7" t="s">
        <v>239</v>
      </c>
      <c r="G172" s="7" t="s">
        <v>237</v>
      </c>
      <c r="H172" s="7">
        <v>25742985</v>
      </c>
      <c r="I172" s="7" t="s">
        <v>996</v>
      </c>
      <c r="J172" s="8" t="s">
        <v>540</v>
      </c>
      <c r="K172" s="8">
        <v>2015</v>
      </c>
      <c r="L172" s="12" t="s">
        <v>541</v>
      </c>
      <c r="N172" s="7" t="s">
        <v>234</v>
      </c>
      <c r="O172" s="7" t="s">
        <v>552</v>
      </c>
      <c r="P172" s="36" t="s">
        <v>254</v>
      </c>
      <c r="Q172" s="36"/>
      <c r="R172" s="36"/>
      <c r="S172" s="36"/>
      <c r="T172" s="36"/>
      <c r="U172" s="36"/>
      <c r="V172" s="7" t="s">
        <v>312</v>
      </c>
      <c r="W172" s="7" t="s">
        <v>237</v>
      </c>
      <c r="X172" s="7" t="s">
        <v>543</v>
      </c>
      <c r="Y172" s="7" t="s">
        <v>830</v>
      </c>
      <c r="Z172" s="7" t="s">
        <v>237</v>
      </c>
      <c r="AB172" s="7" t="s">
        <v>237</v>
      </c>
      <c r="AC172" s="7" t="s">
        <v>544</v>
      </c>
      <c r="AD172" s="7" t="s">
        <v>239</v>
      </c>
      <c r="AE172" s="7" t="s">
        <v>469</v>
      </c>
      <c r="AF172" s="7" t="s">
        <v>237</v>
      </c>
      <c r="AG172" s="7" t="s">
        <v>237</v>
      </c>
      <c r="AH172" s="7" t="s">
        <v>239</v>
      </c>
      <c r="AI172" s="8">
        <v>30</v>
      </c>
      <c r="AK172" s="7" t="s">
        <v>239</v>
      </c>
      <c r="AL172" s="8">
        <v>3000</v>
      </c>
      <c r="AM172" s="7" t="s">
        <v>241</v>
      </c>
      <c r="AN172" s="7" t="s">
        <v>909</v>
      </c>
      <c r="AO172" s="7" t="s">
        <v>910</v>
      </c>
      <c r="AP172" s="7" t="s">
        <v>893</v>
      </c>
      <c r="AQ172" s="7" t="s">
        <v>911</v>
      </c>
      <c r="AS172" s="7"/>
      <c r="AT172" s="7"/>
      <c r="AU172" s="7"/>
      <c r="AV172" s="7"/>
      <c r="AX172" s="7" t="s">
        <v>253</v>
      </c>
      <c r="AY172" s="7" t="s">
        <v>245</v>
      </c>
      <c r="BB172" s="7" t="s">
        <v>246</v>
      </c>
      <c r="BC172" s="11">
        <v>4.7300000000000004</v>
      </c>
      <c r="BD172" s="11">
        <v>1.1599999999999999</v>
      </c>
      <c r="BE172" s="11"/>
      <c r="BF172" s="11">
        <v>5.49</v>
      </c>
      <c r="BG172" s="11">
        <v>0.72</v>
      </c>
      <c r="BH172" s="11"/>
      <c r="BI172" s="7" t="s">
        <v>297</v>
      </c>
      <c r="BJ172" s="8">
        <v>2</v>
      </c>
      <c r="BK172" s="5" t="str">
        <f t="shared" si="156"/>
        <v>Control_greater_than_case</v>
      </c>
      <c r="BP172" s="7" t="s">
        <v>240</v>
      </c>
      <c r="BR172" s="7" t="s">
        <v>247</v>
      </c>
      <c r="BS172" s="7" t="s">
        <v>254</v>
      </c>
      <c r="CG172" s="7" t="s">
        <v>239</v>
      </c>
      <c r="CH172" s="7" t="s">
        <v>237</v>
      </c>
      <c r="CJ172" s="7" t="s">
        <v>239</v>
      </c>
      <c r="CK172" s="7" t="s">
        <v>248</v>
      </c>
      <c r="CL172" s="8">
        <v>25</v>
      </c>
      <c r="CM172" s="8">
        <v>12</v>
      </c>
      <c r="CN172" s="7" t="s">
        <v>249</v>
      </c>
      <c r="CO172" s="7" t="s">
        <v>249</v>
      </c>
      <c r="CP172" s="7" t="s">
        <v>249</v>
      </c>
      <c r="CQ172" s="5" t="s">
        <v>545</v>
      </c>
      <c r="CR172" s="5" t="s">
        <v>546</v>
      </c>
      <c r="CS172" s="42">
        <v>7.9</v>
      </c>
      <c r="CT172" s="42">
        <v>6.1</v>
      </c>
      <c r="CU172" s="42">
        <v>36</v>
      </c>
      <c r="CV172" s="42">
        <v>8.9</v>
      </c>
      <c r="CW172" s="42">
        <v>37.6</v>
      </c>
      <c r="CX172" s="42">
        <v>8.6999999999999993</v>
      </c>
      <c r="CY172" s="42">
        <f t="shared" si="161"/>
        <v>36.518918918918921</v>
      </c>
      <c r="CZ172" s="42">
        <f t="shared" si="157"/>
        <v>8.7470419710461691</v>
      </c>
      <c r="DA172" s="7">
        <v>16</v>
      </c>
      <c r="DB172" s="43">
        <f t="shared" si="135"/>
        <v>64</v>
      </c>
      <c r="DC172" s="8">
        <v>9</v>
      </c>
      <c r="DD172" s="43">
        <f t="shared" si="158"/>
        <v>75</v>
      </c>
      <c r="DE172" s="28">
        <f t="shared" si="159"/>
        <v>67.567567567567565</v>
      </c>
      <c r="DG172" s="8">
        <f t="shared" si="160"/>
        <v>37</v>
      </c>
      <c r="DH172" s="7" t="s">
        <v>237</v>
      </c>
      <c r="DI172" s="8">
        <v>0</v>
      </c>
      <c r="DJ172" s="8">
        <v>100</v>
      </c>
      <c r="DK172" s="7" t="s">
        <v>239</v>
      </c>
      <c r="DM172" s="7" t="s">
        <v>251</v>
      </c>
      <c r="DN172" s="7" t="s">
        <v>251</v>
      </c>
      <c r="DO172" s="7" t="s">
        <v>239</v>
      </c>
      <c r="DP172" s="42">
        <v>3</v>
      </c>
      <c r="DQ172" s="42">
        <v>1.5</v>
      </c>
      <c r="DR172" s="42">
        <v>6.5</v>
      </c>
      <c r="DS172" s="41">
        <f t="shared" si="139"/>
        <v>3.5</v>
      </c>
      <c r="DT172" s="41">
        <f t="shared" si="140"/>
        <v>1.7559422921421233</v>
      </c>
      <c r="JU172" s="7" t="s">
        <v>252</v>
      </c>
    </row>
    <row r="173" spans="1:281" s="8" customFormat="1" ht="20" customHeight="1" x14ac:dyDescent="0.2">
      <c r="A173" s="35">
        <v>53</v>
      </c>
      <c r="B173" s="7" t="s">
        <v>783</v>
      </c>
      <c r="C173" s="7" t="s">
        <v>539</v>
      </c>
      <c r="D173" s="7" t="s">
        <v>231</v>
      </c>
      <c r="E173" s="8">
        <v>35</v>
      </c>
      <c r="F173" s="7" t="s">
        <v>239</v>
      </c>
      <c r="G173" s="7" t="s">
        <v>237</v>
      </c>
      <c r="H173" s="7">
        <v>25742985</v>
      </c>
      <c r="I173" s="7" t="s">
        <v>997</v>
      </c>
      <c r="J173" s="8" t="s">
        <v>540</v>
      </c>
      <c r="K173" s="8">
        <v>2015</v>
      </c>
      <c r="L173" s="12" t="s">
        <v>541</v>
      </c>
      <c r="N173" s="7" t="s">
        <v>234</v>
      </c>
      <c r="O173" s="7" t="s">
        <v>553</v>
      </c>
      <c r="P173" s="36" t="s">
        <v>254</v>
      </c>
      <c r="Q173" s="36"/>
      <c r="R173" s="36"/>
      <c r="S173" s="36"/>
      <c r="T173" s="36"/>
      <c r="U173" s="36"/>
      <c r="V173" s="7" t="s">
        <v>312</v>
      </c>
      <c r="W173" s="7" t="s">
        <v>237</v>
      </c>
      <c r="X173" s="7" t="s">
        <v>543</v>
      </c>
      <c r="Y173" s="7" t="s">
        <v>830</v>
      </c>
      <c r="Z173" s="7" t="s">
        <v>237</v>
      </c>
      <c r="AB173" s="7" t="s">
        <v>237</v>
      </c>
      <c r="AC173" s="7" t="s">
        <v>544</v>
      </c>
      <c r="AD173" s="7" t="s">
        <v>239</v>
      </c>
      <c r="AE173" s="7" t="s">
        <v>469</v>
      </c>
      <c r="AF173" s="7" t="s">
        <v>237</v>
      </c>
      <c r="AG173" s="7" t="s">
        <v>237</v>
      </c>
      <c r="AH173" s="7" t="s">
        <v>239</v>
      </c>
      <c r="AI173" s="8">
        <v>30</v>
      </c>
      <c r="AK173" s="7" t="s">
        <v>239</v>
      </c>
      <c r="AL173" s="8">
        <v>3000</v>
      </c>
      <c r="AM173" s="7" t="s">
        <v>241</v>
      </c>
      <c r="AN173" s="7" t="s">
        <v>909</v>
      </c>
      <c r="AO173" s="7" t="s">
        <v>910</v>
      </c>
      <c r="AP173" s="7" t="s">
        <v>893</v>
      </c>
      <c r="AQ173" s="7" t="s">
        <v>911</v>
      </c>
      <c r="AS173" s="7"/>
      <c r="AT173" s="7"/>
      <c r="AU173" s="7"/>
      <c r="AV173" s="7"/>
      <c r="AX173" s="7" t="s">
        <v>253</v>
      </c>
      <c r="AY173" s="7" t="s">
        <v>245</v>
      </c>
      <c r="BB173" s="7" t="s">
        <v>246</v>
      </c>
      <c r="BC173" s="11">
        <v>4.22</v>
      </c>
      <c r="BD173" s="11">
        <v>0.94</v>
      </c>
      <c r="BE173" s="11"/>
      <c r="BF173" s="11">
        <v>5.31</v>
      </c>
      <c r="BG173" s="11">
        <v>0.67</v>
      </c>
      <c r="BH173" s="11"/>
      <c r="BI173" s="7" t="s">
        <v>297</v>
      </c>
      <c r="BJ173" s="8">
        <v>2</v>
      </c>
      <c r="BK173" s="5" t="str">
        <f t="shared" si="156"/>
        <v>Control_greater_than_case</v>
      </c>
      <c r="BP173" s="7" t="s">
        <v>240</v>
      </c>
      <c r="BR173" s="7" t="s">
        <v>247</v>
      </c>
      <c r="BS173" s="7" t="s">
        <v>254</v>
      </c>
      <c r="CG173" s="7" t="s">
        <v>239</v>
      </c>
      <c r="CH173" s="7" t="s">
        <v>237</v>
      </c>
      <c r="CJ173" s="7" t="s">
        <v>239</v>
      </c>
      <c r="CK173" s="7" t="s">
        <v>248</v>
      </c>
      <c r="CL173" s="8">
        <v>25</v>
      </c>
      <c r="CM173" s="8">
        <v>12</v>
      </c>
      <c r="CN173" s="7" t="s">
        <v>249</v>
      </c>
      <c r="CO173" s="7" t="s">
        <v>249</v>
      </c>
      <c r="CP173" s="7" t="s">
        <v>249</v>
      </c>
      <c r="CQ173" s="5" t="s">
        <v>545</v>
      </c>
      <c r="CR173" s="5" t="s">
        <v>546</v>
      </c>
      <c r="CS173" s="42">
        <v>7.9</v>
      </c>
      <c r="CT173" s="42">
        <v>6.1</v>
      </c>
      <c r="CU173" s="42">
        <v>36</v>
      </c>
      <c r="CV173" s="42">
        <v>8.9</v>
      </c>
      <c r="CW173" s="42">
        <v>37.6</v>
      </c>
      <c r="CX173" s="42">
        <v>8.6999999999999993</v>
      </c>
      <c r="CY173" s="42">
        <f t="shared" si="161"/>
        <v>36.518918918918921</v>
      </c>
      <c r="CZ173" s="42">
        <f t="shared" si="157"/>
        <v>8.7470419710461691</v>
      </c>
      <c r="DA173" s="7">
        <v>16</v>
      </c>
      <c r="DB173" s="43">
        <f t="shared" si="135"/>
        <v>64</v>
      </c>
      <c r="DC173" s="8">
        <v>9</v>
      </c>
      <c r="DD173" s="43">
        <f t="shared" si="158"/>
        <v>75</v>
      </c>
      <c r="DE173" s="28">
        <f t="shared" si="159"/>
        <v>67.567567567567565</v>
      </c>
      <c r="DG173" s="8">
        <f t="shared" si="160"/>
        <v>37</v>
      </c>
      <c r="DH173" s="7" t="s">
        <v>237</v>
      </c>
      <c r="DI173" s="8">
        <v>0</v>
      </c>
      <c r="DJ173" s="8">
        <v>100</v>
      </c>
      <c r="DK173" s="7" t="s">
        <v>239</v>
      </c>
      <c r="DM173" s="7" t="s">
        <v>251</v>
      </c>
      <c r="DN173" s="7" t="s">
        <v>251</v>
      </c>
      <c r="DO173" s="7" t="s">
        <v>239</v>
      </c>
      <c r="DP173" s="42">
        <v>3</v>
      </c>
      <c r="DQ173" s="42">
        <v>1.5</v>
      </c>
      <c r="DR173" s="42">
        <v>6.5</v>
      </c>
      <c r="DS173" s="41">
        <f t="shared" si="139"/>
        <v>3.5</v>
      </c>
      <c r="DT173" s="41">
        <f t="shared" si="140"/>
        <v>1.7559422921421233</v>
      </c>
      <c r="JU173" s="7" t="s">
        <v>252</v>
      </c>
    </row>
    <row r="174" spans="1:281" s="8" customFormat="1" ht="20" customHeight="1" x14ac:dyDescent="0.2">
      <c r="A174" s="35">
        <v>53</v>
      </c>
      <c r="B174" s="7" t="s">
        <v>784</v>
      </c>
      <c r="C174" s="7" t="s">
        <v>539</v>
      </c>
      <c r="D174" s="7" t="s">
        <v>231</v>
      </c>
      <c r="E174" s="8">
        <v>35</v>
      </c>
      <c r="F174" s="7" t="s">
        <v>239</v>
      </c>
      <c r="G174" s="7" t="s">
        <v>237</v>
      </c>
      <c r="H174" s="7">
        <v>25742985</v>
      </c>
      <c r="I174" s="7" t="s">
        <v>998</v>
      </c>
      <c r="J174" s="8" t="s">
        <v>540</v>
      </c>
      <c r="K174" s="8">
        <v>2015</v>
      </c>
      <c r="L174" s="12" t="s">
        <v>541</v>
      </c>
      <c r="N174" s="7" t="s">
        <v>234</v>
      </c>
      <c r="O174" s="7" t="s">
        <v>551</v>
      </c>
      <c r="P174" s="36" t="s">
        <v>254</v>
      </c>
      <c r="Q174" s="36"/>
      <c r="R174" s="36"/>
      <c r="S174" s="36"/>
      <c r="T174" s="36"/>
      <c r="U174" s="36"/>
      <c r="V174" s="7" t="s">
        <v>312</v>
      </c>
      <c r="W174" s="7" t="s">
        <v>237</v>
      </c>
      <c r="X174" s="7" t="s">
        <v>543</v>
      </c>
      <c r="Y174" s="7" t="s">
        <v>830</v>
      </c>
      <c r="Z174" s="7" t="s">
        <v>237</v>
      </c>
      <c r="AB174" s="7" t="s">
        <v>237</v>
      </c>
      <c r="AC174" s="7" t="s">
        <v>544</v>
      </c>
      <c r="AD174" s="7" t="s">
        <v>239</v>
      </c>
      <c r="AE174" s="7" t="s">
        <v>469</v>
      </c>
      <c r="AF174" s="7" t="s">
        <v>237</v>
      </c>
      <c r="AG174" s="7" t="s">
        <v>237</v>
      </c>
      <c r="AH174" s="7" t="s">
        <v>239</v>
      </c>
      <c r="AI174" s="8">
        <v>30</v>
      </c>
      <c r="AK174" s="7" t="s">
        <v>239</v>
      </c>
      <c r="AL174" s="8">
        <v>3000</v>
      </c>
      <c r="AM174" s="7" t="s">
        <v>241</v>
      </c>
      <c r="AN174" s="7" t="s">
        <v>909</v>
      </c>
      <c r="AO174" s="7" t="s">
        <v>910</v>
      </c>
      <c r="AP174" s="7" t="s">
        <v>893</v>
      </c>
      <c r="AQ174" s="7" t="s">
        <v>911</v>
      </c>
      <c r="AS174" s="7"/>
      <c r="AT174" s="7"/>
      <c r="AU174" s="7"/>
      <c r="AV174" s="7"/>
      <c r="AX174" s="7" t="s">
        <v>253</v>
      </c>
      <c r="AY174" s="7" t="s">
        <v>245</v>
      </c>
      <c r="BB174" s="7" t="s">
        <v>246</v>
      </c>
      <c r="BC174" s="11">
        <v>6.03</v>
      </c>
      <c r="BD174" s="11">
        <v>1.48</v>
      </c>
      <c r="BE174" s="11"/>
      <c r="BF174" s="11">
        <v>6.25</v>
      </c>
      <c r="BG174" s="11">
        <v>0.96</v>
      </c>
      <c r="BH174" s="11"/>
      <c r="BI174" s="7" t="s">
        <v>297</v>
      </c>
      <c r="BJ174" s="8">
        <v>2</v>
      </c>
      <c r="BK174" s="5" t="str">
        <f t="shared" si="156"/>
        <v>Control_greater_than_case</v>
      </c>
      <c r="BP174" s="7" t="s">
        <v>240</v>
      </c>
      <c r="BR174" s="7" t="s">
        <v>247</v>
      </c>
      <c r="BS174" s="7" t="s">
        <v>254</v>
      </c>
      <c r="CG174" s="7" t="s">
        <v>239</v>
      </c>
      <c r="CH174" s="7" t="s">
        <v>237</v>
      </c>
      <c r="CJ174" s="7" t="s">
        <v>239</v>
      </c>
      <c r="CK174" s="7" t="s">
        <v>248</v>
      </c>
      <c r="CL174" s="8">
        <v>18</v>
      </c>
      <c r="CM174" s="8">
        <v>12</v>
      </c>
      <c r="CN174" s="7" t="s">
        <v>249</v>
      </c>
      <c r="CO174" s="7" t="s">
        <v>249</v>
      </c>
      <c r="CP174" s="7" t="s">
        <v>249</v>
      </c>
      <c r="CQ174" s="5" t="s">
        <v>549</v>
      </c>
      <c r="CR174" s="5" t="s">
        <v>546</v>
      </c>
      <c r="CS174" s="42">
        <v>8.8000000000000007</v>
      </c>
      <c r="CT174" s="42">
        <v>5.3</v>
      </c>
      <c r="CU174" s="42">
        <v>38.200000000000003</v>
      </c>
      <c r="CV174" s="42">
        <v>5</v>
      </c>
      <c r="CW174" s="42">
        <v>37.6</v>
      </c>
      <c r="CX174" s="42">
        <v>8.6999999999999993</v>
      </c>
      <c r="CY174" s="42">
        <f t="shared" si="161"/>
        <v>37.960000000000008</v>
      </c>
      <c r="CZ174" s="42">
        <f t="shared" si="157"/>
        <v>6.5920066538299178</v>
      </c>
      <c r="DA174" s="7">
        <v>9</v>
      </c>
      <c r="DB174" s="43">
        <f t="shared" si="135"/>
        <v>50</v>
      </c>
      <c r="DC174" s="8">
        <v>9</v>
      </c>
      <c r="DD174" s="43">
        <f t="shared" si="158"/>
        <v>75</v>
      </c>
      <c r="DE174" s="28">
        <f t="shared" si="159"/>
        <v>60</v>
      </c>
      <c r="DG174" s="8">
        <f t="shared" si="160"/>
        <v>30</v>
      </c>
      <c r="DH174" s="7" t="s">
        <v>237</v>
      </c>
      <c r="DI174" s="8">
        <v>0</v>
      </c>
      <c r="DJ174" s="8">
        <v>100</v>
      </c>
      <c r="DK174" s="7" t="s">
        <v>239</v>
      </c>
      <c r="DM174" s="7" t="s">
        <v>550</v>
      </c>
      <c r="DN174" s="7" t="s">
        <v>835</v>
      </c>
      <c r="DO174" s="7" t="s">
        <v>239</v>
      </c>
      <c r="DP174" s="42">
        <v>2.5</v>
      </c>
      <c r="DQ174" s="42">
        <v>1</v>
      </c>
      <c r="DR174" s="42">
        <v>6.5</v>
      </c>
      <c r="DS174" s="41">
        <f t="shared" si="139"/>
        <v>3.125</v>
      </c>
      <c r="DT174" s="41">
        <f t="shared" si="140"/>
        <v>2.0207259421636903</v>
      </c>
      <c r="JU174" s="7" t="s">
        <v>252</v>
      </c>
    </row>
    <row r="175" spans="1:281" s="8" customFormat="1" ht="20" customHeight="1" x14ac:dyDescent="0.2">
      <c r="A175" s="35">
        <v>53</v>
      </c>
      <c r="B175" s="7" t="s">
        <v>785</v>
      </c>
      <c r="C175" s="7" t="s">
        <v>539</v>
      </c>
      <c r="D175" s="7" t="s">
        <v>231</v>
      </c>
      <c r="E175" s="8">
        <v>35</v>
      </c>
      <c r="F175" s="7" t="s">
        <v>239</v>
      </c>
      <c r="G175" s="7" t="s">
        <v>237</v>
      </c>
      <c r="H175" s="7">
        <v>25742985</v>
      </c>
      <c r="I175" s="7" t="s">
        <v>999</v>
      </c>
      <c r="J175" s="8" t="s">
        <v>540</v>
      </c>
      <c r="K175" s="8">
        <v>2015</v>
      </c>
      <c r="L175" s="12" t="s">
        <v>541</v>
      </c>
      <c r="N175" s="7" t="s">
        <v>234</v>
      </c>
      <c r="O175" s="7" t="s">
        <v>552</v>
      </c>
      <c r="P175" s="36" t="s">
        <v>254</v>
      </c>
      <c r="Q175" s="36"/>
      <c r="R175" s="36"/>
      <c r="S175" s="36"/>
      <c r="T175" s="36"/>
      <c r="U175" s="36"/>
      <c r="V175" s="7" t="s">
        <v>312</v>
      </c>
      <c r="W175" s="7" t="s">
        <v>237</v>
      </c>
      <c r="X175" s="7" t="s">
        <v>543</v>
      </c>
      <c r="Y175" s="7" t="s">
        <v>830</v>
      </c>
      <c r="Z175" s="7" t="s">
        <v>237</v>
      </c>
      <c r="AB175" s="7" t="s">
        <v>237</v>
      </c>
      <c r="AC175" s="7" t="s">
        <v>544</v>
      </c>
      <c r="AD175" s="7" t="s">
        <v>239</v>
      </c>
      <c r="AE175" s="7" t="s">
        <v>469</v>
      </c>
      <c r="AF175" s="7" t="s">
        <v>237</v>
      </c>
      <c r="AG175" s="7" t="s">
        <v>237</v>
      </c>
      <c r="AH175" s="7" t="s">
        <v>239</v>
      </c>
      <c r="AI175" s="8">
        <v>30</v>
      </c>
      <c r="AK175" s="7" t="s">
        <v>239</v>
      </c>
      <c r="AL175" s="8">
        <v>3000</v>
      </c>
      <c r="AM175" s="7" t="s">
        <v>241</v>
      </c>
      <c r="AN175" s="7" t="s">
        <v>909</v>
      </c>
      <c r="AO175" s="7" t="s">
        <v>910</v>
      </c>
      <c r="AP175" s="7" t="s">
        <v>893</v>
      </c>
      <c r="AQ175" s="7" t="s">
        <v>911</v>
      </c>
      <c r="AS175" s="7"/>
      <c r="AT175" s="7"/>
      <c r="AU175" s="7"/>
      <c r="AV175" s="7"/>
      <c r="AX175" s="7" t="s">
        <v>253</v>
      </c>
      <c r="AY175" s="7" t="s">
        <v>245</v>
      </c>
      <c r="BB175" s="7" t="s">
        <v>246</v>
      </c>
      <c r="BC175" s="11">
        <v>5.1100000000000003</v>
      </c>
      <c r="BD175" s="11">
        <v>0.96</v>
      </c>
      <c r="BE175" s="11"/>
      <c r="BF175" s="11">
        <v>5.49</v>
      </c>
      <c r="BG175" s="11">
        <v>0.72</v>
      </c>
      <c r="BH175" s="11"/>
      <c r="BI175" s="7" t="s">
        <v>297</v>
      </c>
      <c r="BJ175" s="8">
        <v>2</v>
      </c>
      <c r="BK175" s="5" t="str">
        <f t="shared" si="156"/>
        <v>Control_greater_than_case</v>
      </c>
      <c r="BP175" s="7" t="s">
        <v>240</v>
      </c>
      <c r="BR175" s="7" t="s">
        <v>247</v>
      </c>
      <c r="BS175" s="7" t="s">
        <v>254</v>
      </c>
      <c r="CG175" s="7" t="s">
        <v>239</v>
      </c>
      <c r="CH175" s="7" t="s">
        <v>237</v>
      </c>
      <c r="CJ175" s="7" t="s">
        <v>239</v>
      </c>
      <c r="CK175" s="7" t="s">
        <v>248</v>
      </c>
      <c r="CL175" s="8">
        <v>18</v>
      </c>
      <c r="CM175" s="8">
        <v>12</v>
      </c>
      <c r="CN175" s="7" t="s">
        <v>249</v>
      </c>
      <c r="CO175" s="7" t="s">
        <v>249</v>
      </c>
      <c r="CP175" s="7" t="s">
        <v>249</v>
      </c>
      <c r="CQ175" s="5" t="s">
        <v>549</v>
      </c>
      <c r="CR175" s="5" t="s">
        <v>546</v>
      </c>
      <c r="CS175" s="42">
        <v>8.8000000000000007</v>
      </c>
      <c r="CT175" s="42">
        <v>5.3</v>
      </c>
      <c r="CU175" s="42">
        <v>38.200000000000003</v>
      </c>
      <c r="CV175" s="42">
        <v>5</v>
      </c>
      <c r="CW175" s="42">
        <v>37.6</v>
      </c>
      <c r="CX175" s="42">
        <v>8.6999999999999993</v>
      </c>
      <c r="CY175" s="42">
        <f t="shared" si="161"/>
        <v>37.960000000000008</v>
      </c>
      <c r="CZ175" s="42">
        <f t="shared" si="157"/>
        <v>6.5920066538299178</v>
      </c>
      <c r="DA175" s="7">
        <v>9</v>
      </c>
      <c r="DB175" s="43">
        <f t="shared" si="135"/>
        <v>50</v>
      </c>
      <c r="DC175" s="8">
        <v>9</v>
      </c>
      <c r="DD175" s="43">
        <f t="shared" si="158"/>
        <v>75</v>
      </c>
      <c r="DE175" s="28">
        <f t="shared" si="159"/>
        <v>60</v>
      </c>
      <c r="DG175" s="8">
        <f t="shared" si="160"/>
        <v>30</v>
      </c>
      <c r="DH175" s="7" t="s">
        <v>237</v>
      </c>
      <c r="DI175" s="8">
        <v>0</v>
      </c>
      <c r="DJ175" s="8">
        <v>100</v>
      </c>
      <c r="DK175" s="7" t="s">
        <v>239</v>
      </c>
      <c r="DM175" s="7" t="s">
        <v>550</v>
      </c>
      <c r="DN175" s="7" t="s">
        <v>835</v>
      </c>
      <c r="DO175" s="7" t="s">
        <v>239</v>
      </c>
      <c r="DP175" s="42">
        <v>2.5</v>
      </c>
      <c r="DQ175" s="42">
        <v>1</v>
      </c>
      <c r="DR175" s="42">
        <v>6.5</v>
      </c>
      <c r="DS175" s="41">
        <f t="shared" si="139"/>
        <v>3.125</v>
      </c>
      <c r="DT175" s="41">
        <f t="shared" si="140"/>
        <v>2.0207259421636903</v>
      </c>
      <c r="JU175" s="7" t="s">
        <v>252</v>
      </c>
    </row>
    <row r="176" spans="1:281" s="8" customFormat="1" ht="20" customHeight="1" x14ac:dyDescent="0.2">
      <c r="A176" s="35">
        <v>53</v>
      </c>
      <c r="B176" s="7" t="s">
        <v>786</v>
      </c>
      <c r="C176" s="7" t="s">
        <v>539</v>
      </c>
      <c r="D176" s="7" t="s">
        <v>231</v>
      </c>
      <c r="E176" s="8">
        <v>35</v>
      </c>
      <c r="F176" s="7" t="s">
        <v>239</v>
      </c>
      <c r="G176" s="7" t="s">
        <v>237</v>
      </c>
      <c r="H176" s="7">
        <v>25742985</v>
      </c>
      <c r="I176" s="7" t="s">
        <v>1000</v>
      </c>
      <c r="J176" s="8" t="s">
        <v>540</v>
      </c>
      <c r="K176" s="8">
        <v>2015</v>
      </c>
      <c r="L176" s="12" t="s">
        <v>541</v>
      </c>
      <c r="N176" s="7" t="s">
        <v>234</v>
      </c>
      <c r="O176" s="7" t="s">
        <v>553</v>
      </c>
      <c r="P176" s="36" t="s">
        <v>254</v>
      </c>
      <c r="Q176" s="36"/>
      <c r="R176" s="36"/>
      <c r="S176" s="36"/>
      <c r="T176" s="36"/>
      <c r="U176" s="36"/>
      <c r="V176" s="7" t="s">
        <v>312</v>
      </c>
      <c r="W176" s="7" t="s">
        <v>237</v>
      </c>
      <c r="X176" s="7" t="s">
        <v>543</v>
      </c>
      <c r="Y176" s="7" t="s">
        <v>830</v>
      </c>
      <c r="Z176" s="7" t="s">
        <v>237</v>
      </c>
      <c r="AB176" s="7" t="s">
        <v>237</v>
      </c>
      <c r="AC176" s="7" t="s">
        <v>544</v>
      </c>
      <c r="AD176" s="7" t="s">
        <v>239</v>
      </c>
      <c r="AE176" s="7" t="s">
        <v>469</v>
      </c>
      <c r="AF176" s="7" t="s">
        <v>237</v>
      </c>
      <c r="AG176" s="7" t="s">
        <v>237</v>
      </c>
      <c r="AH176" s="7" t="s">
        <v>239</v>
      </c>
      <c r="AI176" s="8">
        <v>30</v>
      </c>
      <c r="AK176" s="7" t="s">
        <v>239</v>
      </c>
      <c r="AL176" s="8">
        <v>3000</v>
      </c>
      <c r="AM176" s="7" t="s">
        <v>241</v>
      </c>
      <c r="AN176" s="7" t="s">
        <v>909</v>
      </c>
      <c r="AO176" s="7" t="s">
        <v>910</v>
      </c>
      <c r="AP176" s="7" t="s">
        <v>893</v>
      </c>
      <c r="AQ176" s="7" t="s">
        <v>911</v>
      </c>
      <c r="AS176" s="7"/>
      <c r="AT176" s="7"/>
      <c r="AU176" s="7"/>
      <c r="AV176" s="7"/>
      <c r="AX176" s="7" t="s">
        <v>253</v>
      </c>
      <c r="AY176" s="7" t="s">
        <v>245</v>
      </c>
      <c r="BB176" s="7" t="s">
        <v>246</v>
      </c>
      <c r="BC176" s="11">
        <v>4.8</v>
      </c>
      <c r="BD176" s="11">
        <v>0.68</v>
      </c>
      <c r="BE176" s="11"/>
      <c r="BF176" s="11">
        <v>5.31</v>
      </c>
      <c r="BG176" s="11">
        <v>0.67</v>
      </c>
      <c r="BH176" s="11"/>
      <c r="BI176" s="7" t="s">
        <v>297</v>
      </c>
      <c r="BJ176" s="8">
        <v>2</v>
      </c>
      <c r="BK176" s="5" t="str">
        <f t="shared" si="156"/>
        <v>Control_greater_than_case</v>
      </c>
      <c r="BP176" s="7" t="s">
        <v>240</v>
      </c>
      <c r="BR176" s="7" t="s">
        <v>247</v>
      </c>
      <c r="BS176" s="7" t="s">
        <v>254</v>
      </c>
      <c r="CG176" s="7" t="s">
        <v>239</v>
      </c>
      <c r="CH176" s="7" t="s">
        <v>237</v>
      </c>
      <c r="CJ176" s="7" t="s">
        <v>239</v>
      </c>
      <c r="CK176" s="7" t="s">
        <v>248</v>
      </c>
      <c r="CL176" s="8">
        <v>18</v>
      </c>
      <c r="CM176" s="8">
        <v>12</v>
      </c>
      <c r="CN176" s="7" t="s">
        <v>249</v>
      </c>
      <c r="CO176" s="7" t="s">
        <v>249</v>
      </c>
      <c r="CP176" s="7" t="s">
        <v>249</v>
      </c>
      <c r="CQ176" s="5" t="s">
        <v>549</v>
      </c>
      <c r="CR176" s="5" t="s">
        <v>546</v>
      </c>
      <c r="CS176" s="42">
        <v>8.8000000000000007</v>
      </c>
      <c r="CT176" s="42">
        <v>5.3</v>
      </c>
      <c r="CU176" s="42">
        <v>38.200000000000003</v>
      </c>
      <c r="CV176" s="42">
        <v>5</v>
      </c>
      <c r="CW176" s="42">
        <v>37.6</v>
      </c>
      <c r="CX176" s="42">
        <v>8.6999999999999993</v>
      </c>
      <c r="CY176" s="42">
        <f t="shared" si="161"/>
        <v>37.960000000000008</v>
      </c>
      <c r="CZ176" s="42">
        <f t="shared" si="157"/>
        <v>6.5920066538299178</v>
      </c>
      <c r="DA176" s="7">
        <v>9</v>
      </c>
      <c r="DB176" s="43">
        <f t="shared" si="135"/>
        <v>50</v>
      </c>
      <c r="DC176" s="8">
        <v>9</v>
      </c>
      <c r="DD176" s="43">
        <f t="shared" si="158"/>
        <v>75</v>
      </c>
      <c r="DE176" s="28">
        <f t="shared" si="159"/>
        <v>60</v>
      </c>
      <c r="DG176" s="8">
        <f t="shared" si="160"/>
        <v>30</v>
      </c>
      <c r="DH176" s="7" t="s">
        <v>237</v>
      </c>
      <c r="DI176" s="8">
        <v>0</v>
      </c>
      <c r="DJ176" s="8">
        <v>100</v>
      </c>
      <c r="DK176" s="7" t="s">
        <v>239</v>
      </c>
      <c r="DM176" s="7" t="s">
        <v>550</v>
      </c>
      <c r="DN176" s="7" t="s">
        <v>835</v>
      </c>
      <c r="DO176" s="7" t="s">
        <v>239</v>
      </c>
      <c r="DP176" s="42">
        <v>2.5</v>
      </c>
      <c r="DQ176" s="42">
        <v>1</v>
      </c>
      <c r="DR176" s="42">
        <v>6.5</v>
      </c>
      <c r="DS176" s="41">
        <f t="shared" si="139"/>
        <v>3.125</v>
      </c>
      <c r="DT176" s="41">
        <f t="shared" si="140"/>
        <v>2.0207259421636903</v>
      </c>
      <c r="JU176" s="7" t="s">
        <v>252</v>
      </c>
    </row>
    <row r="177" spans="1:281" s="8" customFormat="1" ht="20" customHeight="1" x14ac:dyDescent="0.2">
      <c r="A177" s="35">
        <v>53</v>
      </c>
      <c r="B177" s="7" t="s">
        <v>787</v>
      </c>
      <c r="C177" s="7" t="s">
        <v>539</v>
      </c>
      <c r="D177" s="7" t="s">
        <v>231</v>
      </c>
      <c r="E177" s="8">
        <v>35</v>
      </c>
      <c r="F177" s="7" t="s">
        <v>239</v>
      </c>
      <c r="G177" s="7" t="s">
        <v>237</v>
      </c>
      <c r="H177" s="7">
        <v>25742985</v>
      </c>
      <c r="I177" s="7" t="s">
        <v>1001</v>
      </c>
      <c r="J177" s="8" t="s">
        <v>540</v>
      </c>
      <c r="K177" s="8">
        <v>2015</v>
      </c>
      <c r="L177" s="12" t="s">
        <v>541</v>
      </c>
      <c r="N177" s="7" t="s">
        <v>234</v>
      </c>
      <c r="O177" s="7" t="s">
        <v>554</v>
      </c>
      <c r="P177" s="36" t="s">
        <v>817</v>
      </c>
      <c r="Q177" s="36" t="s">
        <v>817</v>
      </c>
      <c r="R177" s="36"/>
      <c r="S177" s="36"/>
      <c r="T177" s="36"/>
      <c r="U177" s="36"/>
      <c r="V177" s="7" t="s">
        <v>312</v>
      </c>
      <c r="W177" s="7" t="s">
        <v>237</v>
      </c>
      <c r="X177" s="7" t="s">
        <v>543</v>
      </c>
      <c r="Y177" s="7" t="s">
        <v>830</v>
      </c>
      <c r="Z177" s="7" t="s">
        <v>237</v>
      </c>
      <c r="AB177" s="7" t="s">
        <v>237</v>
      </c>
      <c r="AC177" s="7" t="s">
        <v>544</v>
      </c>
      <c r="AD177" s="7" t="s">
        <v>239</v>
      </c>
      <c r="AE177" s="7" t="s">
        <v>469</v>
      </c>
      <c r="AF177" s="7" t="s">
        <v>237</v>
      </c>
      <c r="AG177" s="7" t="s">
        <v>237</v>
      </c>
      <c r="AH177" s="7" t="s">
        <v>239</v>
      </c>
      <c r="AI177" s="8">
        <v>30</v>
      </c>
      <c r="AK177" s="7" t="s">
        <v>239</v>
      </c>
      <c r="AL177" s="8">
        <v>3000</v>
      </c>
      <c r="AM177" s="7" t="s">
        <v>241</v>
      </c>
      <c r="AN177" s="7" t="s">
        <v>909</v>
      </c>
      <c r="AO177" s="7" t="s">
        <v>910</v>
      </c>
      <c r="AP177" s="7" t="s">
        <v>893</v>
      </c>
      <c r="AQ177" s="7" t="s">
        <v>911</v>
      </c>
      <c r="AS177" s="7"/>
      <c r="AT177" s="7"/>
      <c r="AU177" s="7"/>
      <c r="AV177" s="7"/>
      <c r="AX177" s="7" t="s">
        <v>253</v>
      </c>
      <c r="AY177" s="7" t="s">
        <v>245</v>
      </c>
      <c r="BB177" s="7" t="s">
        <v>246</v>
      </c>
      <c r="BC177" s="11">
        <v>12.96</v>
      </c>
      <c r="BD177" s="11">
        <v>2.98</v>
      </c>
      <c r="BE177" s="11"/>
      <c r="BF177" s="11">
        <v>14.01</v>
      </c>
      <c r="BG177" s="11">
        <v>2.4</v>
      </c>
      <c r="BH177" s="11"/>
      <c r="BI177" s="7" t="s">
        <v>297</v>
      </c>
      <c r="BJ177" s="8">
        <v>2</v>
      </c>
      <c r="BK177" s="5" t="str">
        <f t="shared" si="156"/>
        <v>Control_greater_than_case</v>
      </c>
      <c r="BP177" s="7" t="s">
        <v>240</v>
      </c>
      <c r="BR177" s="7" t="s">
        <v>293</v>
      </c>
      <c r="CG177" s="7" t="s">
        <v>239</v>
      </c>
      <c r="CH177" s="7" t="s">
        <v>237</v>
      </c>
      <c r="CJ177" s="7" t="s">
        <v>239</v>
      </c>
      <c r="CK177" s="7" t="s">
        <v>248</v>
      </c>
      <c r="CL177" s="8">
        <v>25</v>
      </c>
      <c r="CM177" s="8">
        <v>12</v>
      </c>
      <c r="CN177" s="7" t="s">
        <v>249</v>
      </c>
      <c r="CO177" s="7" t="s">
        <v>249</v>
      </c>
      <c r="CP177" s="7" t="s">
        <v>249</v>
      </c>
      <c r="CQ177" s="5" t="s">
        <v>545</v>
      </c>
      <c r="CR177" s="5" t="s">
        <v>546</v>
      </c>
      <c r="CS177" s="42">
        <v>7.9</v>
      </c>
      <c r="CT177" s="42">
        <v>6.1</v>
      </c>
      <c r="CU177" s="42">
        <v>36</v>
      </c>
      <c r="CV177" s="42">
        <v>8.9</v>
      </c>
      <c r="CW177" s="42">
        <v>37.6</v>
      </c>
      <c r="CX177" s="42">
        <v>8.6999999999999993</v>
      </c>
      <c r="CY177" s="42">
        <f t="shared" si="161"/>
        <v>36.518918918918921</v>
      </c>
      <c r="CZ177" s="42">
        <f t="shared" si="157"/>
        <v>8.7470419710461691</v>
      </c>
      <c r="DA177" s="7">
        <v>16</v>
      </c>
      <c r="DB177" s="43">
        <f t="shared" si="135"/>
        <v>64</v>
      </c>
      <c r="DC177" s="8">
        <v>9</v>
      </c>
      <c r="DD177" s="43">
        <f t="shared" si="158"/>
        <v>75</v>
      </c>
      <c r="DE177" s="28">
        <f t="shared" si="159"/>
        <v>67.567567567567565</v>
      </c>
      <c r="DG177" s="8">
        <f t="shared" si="160"/>
        <v>37</v>
      </c>
      <c r="DH177" s="7" t="s">
        <v>237</v>
      </c>
      <c r="DI177" s="8">
        <v>0</v>
      </c>
      <c r="DJ177" s="8">
        <v>100</v>
      </c>
      <c r="DK177" s="7" t="s">
        <v>239</v>
      </c>
      <c r="DM177" s="7" t="s">
        <v>251</v>
      </c>
      <c r="DN177" s="7" t="s">
        <v>251</v>
      </c>
      <c r="DO177" s="7" t="s">
        <v>239</v>
      </c>
      <c r="DP177" s="42">
        <v>3</v>
      </c>
      <c r="DQ177" s="42">
        <v>1.5</v>
      </c>
      <c r="DR177" s="42">
        <v>6.5</v>
      </c>
      <c r="DS177" s="41">
        <f t="shared" si="139"/>
        <v>3.5</v>
      </c>
      <c r="DT177" s="41">
        <f t="shared" si="140"/>
        <v>1.7559422921421233</v>
      </c>
      <c r="JU177" s="7" t="s">
        <v>252</v>
      </c>
    </row>
    <row r="178" spans="1:281" s="8" customFormat="1" ht="20" customHeight="1" x14ac:dyDescent="0.2">
      <c r="A178" s="35">
        <v>53</v>
      </c>
      <c r="B178" s="7" t="s">
        <v>788</v>
      </c>
      <c r="C178" s="7" t="s">
        <v>539</v>
      </c>
      <c r="D178" s="7" t="s">
        <v>231</v>
      </c>
      <c r="E178" s="8">
        <v>35</v>
      </c>
      <c r="F178" s="7" t="s">
        <v>239</v>
      </c>
      <c r="G178" s="7" t="s">
        <v>237</v>
      </c>
      <c r="H178" s="7">
        <v>25742985</v>
      </c>
      <c r="I178" s="7" t="s">
        <v>1002</v>
      </c>
      <c r="J178" s="8" t="s">
        <v>540</v>
      </c>
      <c r="K178" s="8">
        <v>2015</v>
      </c>
      <c r="L178" s="12" t="s">
        <v>541</v>
      </c>
      <c r="N178" s="7" t="s">
        <v>234</v>
      </c>
      <c r="O178" s="7" t="s">
        <v>555</v>
      </c>
      <c r="P178" s="37" t="s">
        <v>464</v>
      </c>
      <c r="Q178" s="37" t="s">
        <v>464</v>
      </c>
      <c r="R178" s="37"/>
      <c r="S178" s="37"/>
      <c r="T178" s="37"/>
      <c r="U178" s="37"/>
      <c r="V178" s="7" t="s">
        <v>312</v>
      </c>
      <c r="W178" s="7" t="s">
        <v>237</v>
      </c>
      <c r="X178" s="7" t="s">
        <v>543</v>
      </c>
      <c r="Y178" s="7" t="s">
        <v>830</v>
      </c>
      <c r="Z178" s="7" t="s">
        <v>237</v>
      </c>
      <c r="AB178" s="7" t="s">
        <v>237</v>
      </c>
      <c r="AC178" s="7" t="s">
        <v>544</v>
      </c>
      <c r="AD178" s="7" t="s">
        <v>239</v>
      </c>
      <c r="AE178" s="7" t="s">
        <v>469</v>
      </c>
      <c r="AF178" s="7" t="s">
        <v>237</v>
      </c>
      <c r="AG178" s="7" t="s">
        <v>237</v>
      </c>
      <c r="AH178" s="7" t="s">
        <v>239</v>
      </c>
      <c r="AI178" s="8">
        <v>30</v>
      </c>
      <c r="AK178" s="7" t="s">
        <v>239</v>
      </c>
      <c r="AL178" s="8">
        <v>3000</v>
      </c>
      <c r="AM178" s="7" t="s">
        <v>241</v>
      </c>
      <c r="AN178" s="7" t="s">
        <v>909</v>
      </c>
      <c r="AO178" s="7" t="s">
        <v>910</v>
      </c>
      <c r="AP178" s="7" t="s">
        <v>893</v>
      </c>
      <c r="AQ178" s="7" t="s">
        <v>911</v>
      </c>
      <c r="AS178" s="7"/>
      <c r="AT178" s="7"/>
      <c r="AU178" s="7"/>
      <c r="AV178" s="7"/>
      <c r="AX178" s="7" t="s">
        <v>253</v>
      </c>
      <c r="AY178" s="7" t="s">
        <v>245</v>
      </c>
      <c r="BB178" s="7" t="s">
        <v>246</v>
      </c>
      <c r="BC178" s="11">
        <v>12.99</v>
      </c>
      <c r="BD178" s="11">
        <v>3.87</v>
      </c>
      <c r="BE178" s="11"/>
      <c r="BF178" s="11">
        <v>11.81</v>
      </c>
      <c r="BG178" s="11">
        <v>1.85</v>
      </c>
      <c r="BH178" s="11"/>
      <c r="BI178" s="7" t="s">
        <v>297</v>
      </c>
      <c r="BJ178" s="8">
        <v>2</v>
      </c>
      <c r="BK178" s="5" t="str">
        <f t="shared" si="156"/>
        <v>Case_greater_than_control</v>
      </c>
      <c r="BP178" s="7" t="s">
        <v>240</v>
      </c>
      <c r="BR178" s="7" t="s">
        <v>293</v>
      </c>
      <c r="CG178" s="7" t="s">
        <v>239</v>
      </c>
      <c r="CH178" s="7" t="s">
        <v>237</v>
      </c>
      <c r="CJ178" s="7" t="s">
        <v>239</v>
      </c>
      <c r="CK178" s="7" t="s">
        <v>248</v>
      </c>
      <c r="CL178" s="8">
        <v>25</v>
      </c>
      <c r="CM178" s="8">
        <v>12</v>
      </c>
      <c r="CN178" s="7" t="s">
        <v>249</v>
      </c>
      <c r="CO178" s="7" t="s">
        <v>249</v>
      </c>
      <c r="CP178" s="7" t="s">
        <v>249</v>
      </c>
      <c r="CQ178" s="5" t="s">
        <v>545</v>
      </c>
      <c r="CR178" s="5" t="s">
        <v>546</v>
      </c>
      <c r="CS178" s="42">
        <v>7.9</v>
      </c>
      <c r="CT178" s="42">
        <v>6.1</v>
      </c>
      <c r="CU178" s="42">
        <v>36</v>
      </c>
      <c r="CV178" s="42">
        <v>8.9</v>
      </c>
      <c r="CW178" s="42">
        <v>37.6</v>
      </c>
      <c r="CX178" s="42">
        <v>8.6999999999999993</v>
      </c>
      <c r="CY178" s="42">
        <f t="shared" si="161"/>
        <v>36.518918918918921</v>
      </c>
      <c r="CZ178" s="42">
        <f t="shared" si="157"/>
        <v>8.7470419710461691</v>
      </c>
      <c r="DA178" s="7">
        <v>16</v>
      </c>
      <c r="DB178" s="43">
        <f t="shared" si="135"/>
        <v>64</v>
      </c>
      <c r="DC178" s="8">
        <v>9</v>
      </c>
      <c r="DD178" s="43">
        <f t="shared" si="158"/>
        <v>75</v>
      </c>
      <c r="DE178" s="28">
        <f t="shared" si="159"/>
        <v>67.567567567567565</v>
      </c>
      <c r="DG178" s="8">
        <f t="shared" si="160"/>
        <v>37</v>
      </c>
      <c r="DH178" s="7" t="s">
        <v>237</v>
      </c>
      <c r="DI178" s="8">
        <v>0</v>
      </c>
      <c r="DJ178" s="8">
        <v>100</v>
      </c>
      <c r="DK178" s="7" t="s">
        <v>239</v>
      </c>
      <c r="DM178" s="7" t="s">
        <v>251</v>
      </c>
      <c r="DN178" s="7" t="s">
        <v>251</v>
      </c>
      <c r="DO178" s="7" t="s">
        <v>239</v>
      </c>
      <c r="DP178" s="42">
        <v>3</v>
      </c>
      <c r="DQ178" s="42">
        <v>1.5</v>
      </c>
      <c r="DR178" s="42">
        <v>6.5</v>
      </c>
      <c r="DS178" s="41">
        <f t="shared" si="139"/>
        <v>3.5</v>
      </c>
      <c r="DT178" s="41">
        <f t="shared" si="140"/>
        <v>1.7559422921421233</v>
      </c>
      <c r="JU178" s="7" t="s">
        <v>252</v>
      </c>
    </row>
    <row r="179" spans="1:281" s="8" customFormat="1" ht="20" customHeight="1" x14ac:dyDescent="0.2">
      <c r="A179" s="35">
        <v>53</v>
      </c>
      <c r="B179" s="7" t="s">
        <v>789</v>
      </c>
      <c r="C179" s="7" t="s">
        <v>539</v>
      </c>
      <c r="D179" s="7" t="s">
        <v>231</v>
      </c>
      <c r="E179" s="8">
        <v>35</v>
      </c>
      <c r="F179" s="7" t="s">
        <v>239</v>
      </c>
      <c r="G179" s="7" t="s">
        <v>237</v>
      </c>
      <c r="H179" s="7">
        <v>25742985</v>
      </c>
      <c r="I179" s="7" t="s">
        <v>1003</v>
      </c>
      <c r="J179" s="8" t="s">
        <v>540</v>
      </c>
      <c r="K179" s="8">
        <v>2015</v>
      </c>
      <c r="L179" s="12" t="s">
        <v>541</v>
      </c>
      <c r="N179" s="7" t="s">
        <v>234</v>
      </c>
      <c r="O179" s="7" t="s">
        <v>554</v>
      </c>
      <c r="P179" s="36" t="s">
        <v>817</v>
      </c>
      <c r="Q179" s="36" t="s">
        <v>817</v>
      </c>
      <c r="R179" s="36"/>
      <c r="S179" s="36"/>
      <c r="T179" s="36"/>
      <c r="U179" s="36"/>
      <c r="V179" s="7" t="s">
        <v>312</v>
      </c>
      <c r="W179" s="7" t="s">
        <v>237</v>
      </c>
      <c r="X179" s="7" t="s">
        <v>543</v>
      </c>
      <c r="Y179" s="7" t="s">
        <v>830</v>
      </c>
      <c r="Z179" s="7" t="s">
        <v>237</v>
      </c>
      <c r="AB179" s="7" t="s">
        <v>237</v>
      </c>
      <c r="AC179" s="7" t="s">
        <v>544</v>
      </c>
      <c r="AD179" s="7" t="s">
        <v>239</v>
      </c>
      <c r="AE179" s="7" t="s">
        <v>469</v>
      </c>
      <c r="AF179" s="7" t="s">
        <v>237</v>
      </c>
      <c r="AG179" s="7" t="s">
        <v>237</v>
      </c>
      <c r="AH179" s="7" t="s">
        <v>239</v>
      </c>
      <c r="AI179" s="8">
        <v>30</v>
      </c>
      <c r="AK179" s="7" t="s">
        <v>239</v>
      </c>
      <c r="AL179" s="8">
        <v>3000</v>
      </c>
      <c r="AM179" s="7" t="s">
        <v>241</v>
      </c>
      <c r="AN179" s="7" t="s">
        <v>909</v>
      </c>
      <c r="AO179" s="7" t="s">
        <v>910</v>
      </c>
      <c r="AP179" s="7" t="s">
        <v>893</v>
      </c>
      <c r="AQ179" s="7" t="s">
        <v>911</v>
      </c>
      <c r="AS179" s="7"/>
      <c r="AT179" s="7"/>
      <c r="AU179" s="7"/>
      <c r="AV179" s="7"/>
      <c r="AX179" s="7" t="s">
        <v>253</v>
      </c>
      <c r="AY179" s="7" t="s">
        <v>245</v>
      </c>
      <c r="BB179" s="7" t="s">
        <v>246</v>
      </c>
      <c r="BC179" s="11">
        <v>12.71</v>
      </c>
      <c r="BD179" s="11">
        <v>2.57</v>
      </c>
      <c r="BE179" s="11"/>
      <c r="BF179" s="11">
        <v>14.01</v>
      </c>
      <c r="BG179" s="11">
        <v>2.4</v>
      </c>
      <c r="BH179" s="11"/>
      <c r="BI179" s="7" t="s">
        <v>297</v>
      </c>
      <c r="BJ179" s="8">
        <v>2</v>
      </c>
      <c r="BK179" s="5" t="str">
        <f t="shared" si="156"/>
        <v>Control_greater_than_case</v>
      </c>
      <c r="BP179" s="7" t="s">
        <v>240</v>
      </c>
      <c r="BR179" s="7" t="s">
        <v>293</v>
      </c>
      <c r="CG179" s="7" t="s">
        <v>239</v>
      </c>
      <c r="CH179" s="7" t="s">
        <v>237</v>
      </c>
      <c r="CJ179" s="7" t="s">
        <v>239</v>
      </c>
      <c r="CK179" s="7" t="s">
        <v>248</v>
      </c>
      <c r="CL179" s="8">
        <v>18</v>
      </c>
      <c r="CM179" s="8">
        <v>12</v>
      </c>
      <c r="CN179" s="7" t="s">
        <v>249</v>
      </c>
      <c r="CO179" s="7" t="s">
        <v>249</v>
      </c>
      <c r="CP179" s="7" t="s">
        <v>249</v>
      </c>
      <c r="CQ179" s="5" t="s">
        <v>549</v>
      </c>
      <c r="CR179" s="5" t="s">
        <v>546</v>
      </c>
      <c r="CS179" s="42">
        <v>8.8000000000000007</v>
      </c>
      <c r="CT179" s="42">
        <v>5.3</v>
      </c>
      <c r="CU179" s="42">
        <v>38.200000000000003</v>
      </c>
      <c r="CV179" s="42">
        <v>5</v>
      </c>
      <c r="CW179" s="42">
        <v>37.6</v>
      </c>
      <c r="CX179" s="42">
        <v>8.6999999999999993</v>
      </c>
      <c r="CY179" s="42">
        <f t="shared" si="161"/>
        <v>37.960000000000008</v>
      </c>
      <c r="CZ179" s="42">
        <f t="shared" si="157"/>
        <v>6.5920066538299178</v>
      </c>
      <c r="DA179" s="7">
        <v>9</v>
      </c>
      <c r="DB179" s="43">
        <f t="shared" si="135"/>
        <v>50</v>
      </c>
      <c r="DC179" s="8">
        <v>9</v>
      </c>
      <c r="DD179" s="43">
        <f t="shared" si="158"/>
        <v>75</v>
      </c>
      <c r="DE179" s="28">
        <f t="shared" si="159"/>
        <v>60</v>
      </c>
      <c r="DG179" s="8">
        <f t="shared" si="160"/>
        <v>30</v>
      </c>
      <c r="DH179" s="7" t="s">
        <v>237</v>
      </c>
      <c r="DI179" s="8">
        <v>0</v>
      </c>
      <c r="DJ179" s="8">
        <v>100</v>
      </c>
      <c r="DK179" s="7" t="s">
        <v>239</v>
      </c>
      <c r="DM179" s="7" t="s">
        <v>550</v>
      </c>
      <c r="DN179" s="7" t="s">
        <v>835</v>
      </c>
      <c r="DO179" s="7" t="s">
        <v>239</v>
      </c>
      <c r="DP179" s="42">
        <v>2.5</v>
      </c>
      <c r="DQ179" s="42">
        <v>1</v>
      </c>
      <c r="DR179" s="42">
        <v>6.5</v>
      </c>
      <c r="DS179" s="41">
        <f t="shared" si="139"/>
        <v>3.125</v>
      </c>
      <c r="DT179" s="41">
        <f t="shared" si="140"/>
        <v>2.0207259421636903</v>
      </c>
      <c r="JU179" s="7" t="s">
        <v>252</v>
      </c>
    </row>
    <row r="180" spans="1:281" s="64" customFormat="1" ht="20" customHeight="1" x14ac:dyDescent="0.2">
      <c r="A180" s="106">
        <v>53</v>
      </c>
      <c r="B180" s="71" t="s">
        <v>790</v>
      </c>
      <c r="C180" s="71" t="s">
        <v>539</v>
      </c>
      <c r="D180" s="71" t="s">
        <v>231</v>
      </c>
      <c r="E180" s="64">
        <v>35</v>
      </c>
      <c r="F180" s="71" t="s">
        <v>239</v>
      </c>
      <c r="G180" s="71" t="s">
        <v>237</v>
      </c>
      <c r="H180" s="71">
        <v>25742985</v>
      </c>
      <c r="I180" s="71" t="s">
        <v>1004</v>
      </c>
      <c r="J180" s="64" t="s">
        <v>540</v>
      </c>
      <c r="K180" s="64">
        <v>2015</v>
      </c>
      <c r="L180" s="124" t="s">
        <v>541</v>
      </c>
      <c r="N180" s="71" t="s">
        <v>234</v>
      </c>
      <c r="O180" s="71" t="s">
        <v>555</v>
      </c>
      <c r="P180" s="108" t="s">
        <v>464</v>
      </c>
      <c r="Q180" s="108" t="s">
        <v>464</v>
      </c>
      <c r="R180" s="108"/>
      <c r="S180" s="108"/>
      <c r="T180" s="108"/>
      <c r="U180" s="108"/>
      <c r="V180" s="71" t="s">
        <v>312</v>
      </c>
      <c r="W180" s="71" t="s">
        <v>237</v>
      </c>
      <c r="X180" s="71" t="s">
        <v>543</v>
      </c>
      <c r="Y180" s="71" t="s">
        <v>830</v>
      </c>
      <c r="Z180" s="71" t="s">
        <v>237</v>
      </c>
      <c r="AB180" s="71" t="s">
        <v>237</v>
      </c>
      <c r="AC180" s="71" t="s">
        <v>544</v>
      </c>
      <c r="AD180" s="71" t="s">
        <v>239</v>
      </c>
      <c r="AE180" s="71" t="s">
        <v>469</v>
      </c>
      <c r="AF180" s="71" t="s">
        <v>237</v>
      </c>
      <c r="AG180" s="71" t="s">
        <v>237</v>
      </c>
      <c r="AH180" s="71" t="s">
        <v>239</v>
      </c>
      <c r="AI180" s="64">
        <v>30</v>
      </c>
      <c r="AK180" s="71" t="s">
        <v>239</v>
      </c>
      <c r="AL180" s="64">
        <v>3000</v>
      </c>
      <c r="AM180" s="71" t="s">
        <v>241</v>
      </c>
      <c r="AN180" s="71" t="s">
        <v>909</v>
      </c>
      <c r="AO180" s="71" t="s">
        <v>910</v>
      </c>
      <c r="AP180" s="71" t="s">
        <v>893</v>
      </c>
      <c r="AQ180" s="71" t="s">
        <v>911</v>
      </c>
      <c r="AS180" s="71"/>
      <c r="AT180" s="71"/>
      <c r="AU180" s="71"/>
      <c r="AV180" s="71"/>
      <c r="AX180" s="71" t="s">
        <v>253</v>
      </c>
      <c r="AY180" s="71" t="s">
        <v>245</v>
      </c>
      <c r="BB180" s="71" t="s">
        <v>246</v>
      </c>
      <c r="BC180" s="65">
        <v>12.68</v>
      </c>
      <c r="BD180" s="65">
        <v>1.44</v>
      </c>
      <c r="BE180" s="65"/>
      <c r="BF180" s="65">
        <v>11.81</v>
      </c>
      <c r="BG180" s="65">
        <v>1.85</v>
      </c>
      <c r="BH180" s="65"/>
      <c r="BI180" s="71" t="s">
        <v>297</v>
      </c>
      <c r="BJ180" s="64">
        <v>2</v>
      </c>
      <c r="BK180" s="73" t="str">
        <f t="shared" si="156"/>
        <v>Case_greater_than_control</v>
      </c>
      <c r="BP180" s="71" t="s">
        <v>240</v>
      </c>
      <c r="BR180" s="71" t="s">
        <v>293</v>
      </c>
      <c r="CG180" s="71" t="s">
        <v>239</v>
      </c>
      <c r="CH180" s="71" t="s">
        <v>237</v>
      </c>
      <c r="CJ180" s="71" t="s">
        <v>239</v>
      </c>
      <c r="CK180" s="71" t="s">
        <v>248</v>
      </c>
      <c r="CL180" s="64">
        <v>18</v>
      </c>
      <c r="CM180" s="64">
        <v>12</v>
      </c>
      <c r="CN180" s="71" t="s">
        <v>249</v>
      </c>
      <c r="CO180" s="71" t="s">
        <v>249</v>
      </c>
      <c r="CP180" s="71" t="s">
        <v>249</v>
      </c>
      <c r="CQ180" s="73" t="s">
        <v>549</v>
      </c>
      <c r="CR180" s="73" t="s">
        <v>546</v>
      </c>
      <c r="CS180" s="116">
        <v>8.8000000000000007</v>
      </c>
      <c r="CT180" s="116">
        <v>5.3</v>
      </c>
      <c r="CU180" s="116">
        <v>38.200000000000003</v>
      </c>
      <c r="CV180" s="116">
        <v>5</v>
      </c>
      <c r="CW180" s="116">
        <v>37.6</v>
      </c>
      <c r="CX180" s="116">
        <v>8.6999999999999993</v>
      </c>
      <c r="CY180" s="116">
        <f t="shared" si="161"/>
        <v>37.960000000000008</v>
      </c>
      <c r="CZ180" s="116">
        <f t="shared" si="157"/>
        <v>6.5920066538299178</v>
      </c>
      <c r="DA180" s="71">
        <v>9</v>
      </c>
      <c r="DB180" s="117">
        <f t="shared" si="135"/>
        <v>50</v>
      </c>
      <c r="DC180" s="64">
        <v>9</v>
      </c>
      <c r="DD180" s="117">
        <f t="shared" si="158"/>
        <v>75</v>
      </c>
      <c r="DE180" s="80">
        <f t="shared" si="159"/>
        <v>60</v>
      </c>
      <c r="DG180" s="64">
        <f t="shared" si="160"/>
        <v>30</v>
      </c>
      <c r="DH180" s="71" t="s">
        <v>237</v>
      </c>
      <c r="DI180" s="64">
        <v>0</v>
      </c>
      <c r="DJ180" s="64">
        <v>100</v>
      </c>
      <c r="DK180" s="71" t="s">
        <v>239</v>
      </c>
      <c r="DM180" s="71" t="s">
        <v>550</v>
      </c>
      <c r="DN180" s="71" t="s">
        <v>835</v>
      </c>
      <c r="DO180" s="71" t="s">
        <v>239</v>
      </c>
      <c r="DP180" s="116">
        <v>2.5</v>
      </c>
      <c r="DQ180" s="116">
        <v>1</v>
      </c>
      <c r="DR180" s="116">
        <v>6.5</v>
      </c>
      <c r="DS180" s="115">
        <f t="shared" si="139"/>
        <v>3.125</v>
      </c>
      <c r="DT180" s="115">
        <f t="shared" si="140"/>
        <v>2.0207259421636903</v>
      </c>
      <c r="JU180" s="71" t="s">
        <v>252</v>
      </c>
    </row>
    <row r="181" spans="1:281" s="97" customFormat="1" ht="20" customHeight="1" x14ac:dyDescent="0.2">
      <c r="A181" s="95"/>
      <c r="L181" s="148"/>
      <c r="P181" s="99"/>
      <c r="Q181" s="99"/>
      <c r="R181" s="99"/>
      <c r="S181" s="99"/>
      <c r="T181" s="99"/>
      <c r="U181" s="99"/>
    </row>
    <row r="182" spans="1:281" s="131" customFormat="1" ht="20" customHeight="1" x14ac:dyDescent="0.2">
      <c r="A182" s="129">
        <v>418</v>
      </c>
      <c r="B182" s="130" t="s">
        <v>556</v>
      </c>
      <c r="C182" s="130" t="s">
        <v>557</v>
      </c>
      <c r="D182" s="130" t="s">
        <v>231</v>
      </c>
      <c r="E182" s="131">
        <v>38</v>
      </c>
      <c r="F182" s="131" t="s">
        <v>239</v>
      </c>
      <c r="G182" s="130" t="s">
        <v>237</v>
      </c>
      <c r="H182" s="130">
        <v>40893569</v>
      </c>
      <c r="I182" s="130" t="s">
        <v>1005</v>
      </c>
      <c r="J182" s="130" t="s">
        <v>558</v>
      </c>
      <c r="K182" s="131">
        <v>2025</v>
      </c>
      <c r="L182" s="132" t="s">
        <v>559</v>
      </c>
      <c r="N182" s="130" t="s">
        <v>234</v>
      </c>
      <c r="O182" s="130" t="s">
        <v>358</v>
      </c>
      <c r="P182" s="133" t="s">
        <v>822</v>
      </c>
      <c r="Q182" s="133"/>
      <c r="R182" s="133" t="s">
        <v>358</v>
      </c>
      <c r="S182" s="133"/>
      <c r="T182" s="133" t="s">
        <v>358</v>
      </c>
      <c r="U182" s="133"/>
      <c r="V182" s="130" t="s">
        <v>236</v>
      </c>
      <c r="W182" s="130" t="s">
        <v>237</v>
      </c>
      <c r="X182" s="130" t="s">
        <v>266</v>
      </c>
      <c r="Y182" s="130" t="s">
        <v>828</v>
      </c>
      <c r="Z182" s="130" t="s">
        <v>239</v>
      </c>
      <c r="AA182" s="131">
        <v>1024</v>
      </c>
      <c r="AB182" s="130" t="s">
        <v>237</v>
      </c>
      <c r="AC182" s="130" t="s">
        <v>941</v>
      </c>
      <c r="AD182" s="130" t="s">
        <v>239</v>
      </c>
      <c r="AE182" s="130" t="s">
        <v>560</v>
      </c>
      <c r="AF182" s="130" t="s">
        <v>239</v>
      </c>
      <c r="AG182" s="130" t="s">
        <v>237</v>
      </c>
      <c r="AH182" s="130" t="s">
        <v>239</v>
      </c>
      <c r="AI182" s="131">
        <v>68</v>
      </c>
      <c r="AK182" s="130" t="s">
        <v>239</v>
      </c>
      <c r="AL182" s="131">
        <v>2000</v>
      </c>
      <c r="AM182" s="130" t="s">
        <v>259</v>
      </c>
      <c r="AN182" s="130" t="s">
        <v>561</v>
      </c>
      <c r="AO182" s="130"/>
      <c r="AP182" s="130"/>
      <c r="AQ182" s="130"/>
      <c r="AR182" s="131">
        <v>16</v>
      </c>
      <c r="AS182" s="130"/>
      <c r="AT182" s="130"/>
      <c r="AU182" s="130"/>
      <c r="AV182" s="130"/>
      <c r="AW182" s="131">
        <v>15</v>
      </c>
      <c r="AX182" s="130" t="s">
        <v>244</v>
      </c>
      <c r="AY182" s="130" t="s">
        <v>245</v>
      </c>
      <c r="BB182" s="130" t="s">
        <v>246</v>
      </c>
      <c r="BC182" s="142">
        <v>5.7869999999999999</v>
      </c>
      <c r="BD182" s="142">
        <v>1.3069999999999999</v>
      </c>
      <c r="BE182" s="142"/>
      <c r="BF182" s="142">
        <v>6.4390000000000001</v>
      </c>
      <c r="BG182" s="142">
        <v>0.68</v>
      </c>
      <c r="BH182" s="142"/>
      <c r="BI182" s="142">
        <v>2E-3</v>
      </c>
      <c r="BJ182" s="131">
        <v>2</v>
      </c>
      <c r="BK182" s="135" t="str">
        <f>IF(AND(BC182&lt;&gt;"",BF182&lt;&gt;""),IF(BC182&gt;BF182,"Case_greater_than_control","Control_greater_than_case"),"")</f>
        <v>Control_greater_than_case</v>
      </c>
      <c r="BP182" s="130" t="s">
        <v>240</v>
      </c>
      <c r="BR182" s="130" t="s">
        <v>262</v>
      </c>
      <c r="CG182" s="130" t="s">
        <v>239</v>
      </c>
      <c r="CH182" s="130" t="s">
        <v>237</v>
      </c>
      <c r="CJ182" s="130" t="s">
        <v>239</v>
      </c>
      <c r="CK182" s="130" t="s">
        <v>272</v>
      </c>
      <c r="CL182" s="131">
        <v>50</v>
      </c>
      <c r="CM182" s="131">
        <v>43</v>
      </c>
      <c r="CN182" s="130" t="s">
        <v>249</v>
      </c>
      <c r="CO182" s="130" t="s">
        <v>249</v>
      </c>
      <c r="CP182" s="130" t="s">
        <v>249</v>
      </c>
      <c r="CQ182" s="135" t="s">
        <v>562</v>
      </c>
      <c r="CR182" s="135" t="s">
        <v>563</v>
      </c>
      <c r="CS182" s="130">
        <v>3.41</v>
      </c>
      <c r="CT182" s="130">
        <v>4.33</v>
      </c>
      <c r="CU182" s="130">
        <v>32.46</v>
      </c>
      <c r="CV182" s="130">
        <v>10.33</v>
      </c>
      <c r="CW182" s="130">
        <v>35.159999999999997</v>
      </c>
      <c r="CX182" s="130">
        <v>13.49</v>
      </c>
      <c r="CY182" s="159">
        <f t="shared" ref="CY182" si="162">IF(OR(CU182="",CW182="",CL182="",CM182="",CL182+CM182=0),"",(CU182*CL182+CW182*CM182)/(CL182+CM182))</f>
        <v>33.708387096774196</v>
      </c>
      <c r="CZ182" s="159">
        <f>IF(OR(CY182="",CV182="",CX182=""),"",SQRT(((CL182-1)*(CV182^2) + (CM182-1)*(CX182^2) + CL182*(CU182-CY182)^2 + CM182*(CW182-CY182)^2) / (CL182+CM182-1)))</f>
        <v>11.905621871740895</v>
      </c>
      <c r="DA182" s="131">
        <v>34</v>
      </c>
      <c r="DB182" s="134">
        <f t="shared" si="135"/>
        <v>68</v>
      </c>
      <c r="DC182" s="131">
        <v>24</v>
      </c>
      <c r="DD182" s="134">
        <f>IF(DC182="","",(DC182/CM182)*100)</f>
        <v>55.813953488372093</v>
      </c>
      <c r="DE182" s="160">
        <f>IF(AND(DA182&lt;&gt;"",DC182&lt;&gt;""),(DA182+DC182)/(CL182+CM182)*100,
   IF(AND(DB182&lt;&gt;"",DD182&lt;&gt;""),(DB182*CL182 + DD182*CM182)/(CL182+CM182),
   ""))</f>
        <v>62.365591397849464</v>
      </c>
      <c r="DG182" s="131">
        <f>SUM(CL182,CM182)</f>
        <v>93</v>
      </c>
      <c r="DH182" s="130" t="s">
        <v>237</v>
      </c>
      <c r="DI182" s="131">
        <v>44</v>
      </c>
      <c r="DJ182" s="131">
        <v>56</v>
      </c>
      <c r="DK182" s="130" t="s">
        <v>239</v>
      </c>
      <c r="DL182" s="135" t="s">
        <v>564</v>
      </c>
      <c r="DO182" s="130" t="s">
        <v>239</v>
      </c>
      <c r="DP182" s="130">
        <v>2</v>
      </c>
      <c r="DQ182" s="130">
        <v>1.5</v>
      </c>
      <c r="DR182" s="130">
        <v>2.5</v>
      </c>
      <c r="DS182" s="139">
        <f t="shared" si="139"/>
        <v>2</v>
      </c>
      <c r="DT182" s="139">
        <f t="shared" si="140"/>
        <v>0.28867513459481287</v>
      </c>
      <c r="JU182" s="130" t="s">
        <v>252</v>
      </c>
    </row>
    <row r="183" spans="1:281" s="97" customFormat="1" ht="20" customHeight="1" x14ac:dyDescent="0.2">
      <c r="A183" s="95"/>
      <c r="L183" s="148"/>
      <c r="P183" s="99"/>
      <c r="Q183" s="99"/>
      <c r="R183" s="99"/>
      <c r="S183" s="99"/>
      <c r="T183" s="99"/>
      <c r="U183" s="99"/>
    </row>
    <row r="184" spans="1:281" s="85" customFormat="1" ht="20" customHeight="1" x14ac:dyDescent="0.2">
      <c r="A184" s="83">
        <v>38</v>
      </c>
      <c r="B184" s="84" t="s">
        <v>791</v>
      </c>
      <c r="C184" s="84" t="s">
        <v>565</v>
      </c>
      <c r="D184" s="84" t="s">
        <v>231</v>
      </c>
      <c r="E184" s="85">
        <v>36</v>
      </c>
      <c r="F184" s="85" t="s">
        <v>239</v>
      </c>
      <c r="G184" s="84" t="s">
        <v>237</v>
      </c>
      <c r="H184" s="84">
        <v>38271282</v>
      </c>
      <c r="I184" s="84"/>
      <c r="J184" s="84" t="s">
        <v>566</v>
      </c>
      <c r="K184" s="85">
        <v>2024</v>
      </c>
      <c r="L184" s="119" t="s">
        <v>418</v>
      </c>
      <c r="N184" s="84" t="s">
        <v>234</v>
      </c>
      <c r="O184" s="84" t="s">
        <v>419</v>
      </c>
      <c r="P184" s="87" t="s">
        <v>816</v>
      </c>
      <c r="Q184" s="87" t="s">
        <v>464</v>
      </c>
      <c r="R184" s="87"/>
      <c r="S184" s="87"/>
      <c r="T184" s="87"/>
      <c r="U184" s="87"/>
      <c r="V184" s="84" t="s">
        <v>236</v>
      </c>
      <c r="W184" s="84" t="s">
        <v>237</v>
      </c>
      <c r="X184" s="84" t="s">
        <v>284</v>
      </c>
      <c r="Y184" s="84" t="s">
        <v>828</v>
      </c>
      <c r="Z184" s="84" t="s">
        <v>237</v>
      </c>
      <c r="AB184" s="84" t="s">
        <v>237</v>
      </c>
      <c r="AC184" s="84" t="s">
        <v>925</v>
      </c>
      <c r="AD184" s="84" t="s">
        <v>239</v>
      </c>
      <c r="AE184" s="84" t="s">
        <v>873</v>
      </c>
      <c r="AF184" s="84" t="s">
        <v>239</v>
      </c>
      <c r="AG184" s="84" t="s">
        <v>237</v>
      </c>
      <c r="AH184" s="84" t="s">
        <v>239</v>
      </c>
      <c r="AI184" s="85">
        <v>35</v>
      </c>
      <c r="AK184" s="84" t="s">
        <v>239</v>
      </c>
      <c r="AL184" s="85">
        <v>2000</v>
      </c>
      <c r="AM184" s="84" t="s">
        <v>259</v>
      </c>
      <c r="AN184" s="84" t="s">
        <v>420</v>
      </c>
      <c r="AO184" s="84"/>
      <c r="AP184" s="84"/>
      <c r="AQ184" s="84"/>
      <c r="AR184" s="85">
        <v>32</v>
      </c>
      <c r="AS184" s="88">
        <v>5.59</v>
      </c>
      <c r="AT184" s="88">
        <v>1.59</v>
      </c>
      <c r="AU184" s="88">
        <v>5.82</v>
      </c>
      <c r="AV184" s="88">
        <v>1.36</v>
      </c>
      <c r="AW184" s="85">
        <v>20</v>
      </c>
      <c r="AX184" s="84" t="s">
        <v>253</v>
      </c>
      <c r="AY184" s="84" t="s">
        <v>245</v>
      </c>
      <c r="BB184" s="84" t="s">
        <v>246</v>
      </c>
      <c r="BC184" s="88">
        <v>8.18</v>
      </c>
      <c r="BD184" s="88">
        <v>1.1399999999999999</v>
      </c>
      <c r="BE184" s="88"/>
      <c r="BF184" s="88">
        <v>8.2100000000000009</v>
      </c>
      <c r="BG184" s="88">
        <v>0.84</v>
      </c>
      <c r="BH184" s="88"/>
      <c r="BI184" s="141">
        <v>0.92400000000000004</v>
      </c>
      <c r="BJ184" s="85">
        <v>2</v>
      </c>
      <c r="BK184" s="89" t="str">
        <f t="shared" ref="BK184:BK186" si="163">IF(AND(BC184&lt;&gt;"",BF184&lt;&gt;""),IF(BC184&gt;BF184,"Case_greater_than_control","Control_greater_than_case"),"")</f>
        <v>Control_greater_than_case</v>
      </c>
      <c r="BP184" s="84" t="s">
        <v>240</v>
      </c>
      <c r="BR184" s="84" t="s">
        <v>262</v>
      </c>
      <c r="CG184" s="84" t="s">
        <v>239</v>
      </c>
      <c r="CH184" s="84" t="s">
        <v>237</v>
      </c>
      <c r="CJ184" s="84" t="s">
        <v>239</v>
      </c>
      <c r="CK184" s="84" t="s">
        <v>248</v>
      </c>
      <c r="CL184" s="85">
        <v>29</v>
      </c>
      <c r="CM184" s="85">
        <v>34</v>
      </c>
      <c r="CN184" s="84" t="s">
        <v>249</v>
      </c>
      <c r="CO184" s="84" t="s">
        <v>249</v>
      </c>
      <c r="CP184" s="84" t="s">
        <v>249</v>
      </c>
      <c r="CQ184" s="89" t="s">
        <v>567</v>
      </c>
      <c r="CR184" s="89" t="s">
        <v>568</v>
      </c>
      <c r="CU184" s="91">
        <v>37.03</v>
      </c>
      <c r="CV184" s="91">
        <v>9.85</v>
      </c>
      <c r="CW184" s="91">
        <v>41.41</v>
      </c>
      <c r="CX184" s="91">
        <v>13.14</v>
      </c>
      <c r="CY184" s="91">
        <f t="shared" ref="CY184:CY186" si="164">IF(OR(CU184="",CW184="",CL184="",CM184="",CL184+CM184=0),"",(CU184*CL184+CW184*CM184)/(CL184+CM184))</f>
        <v>39.393809523809523</v>
      </c>
      <c r="CZ184" s="91">
        <f t="shared" ref="CZ184:CZ186" si="165">IF(OR(CY184="",CV184="",CX184=""),"",SQRT(((CL184-1)*(CV184^2) + (CM184-1)*(CX184^2) + CL184*(CU184-CY184)^2 + CM184*(CW184-CY184)^2) / (CL184+CM184-1)))</f>
        <v>11.855751214763215</v>
      </c>
      <c r="DA184" s="84">
        <v>11</v>
      </c>
      <c r="DB184" s="103">
        <f t="shared" si="135"/>
        <v>37.931034482758619</v>
      </c>
      <c r="DC184" s="85">
        <v>11</v>
      </c>
      <c r="DD184" s="103">
        <f t="shared" ref="DD184:DD186" si="166">IF(DC184="","",(DC184/CM184)*100)</f>
        <v>32.352941176470587</v>
      </c>
      <c r="DE184" s="93">
        <f t="shared" ref="DE184:DE186" si="167">IF(AND(DA184&lt;&gt;"",DC184&lt;&gt;""),(DA184+DC184)/(CL184+CM184)*100,
   IF(AND(DB184&lt;&gt;"",DD184&lt;&gt;""),(DB184*CL184 + DD184*CM184)/(CL184+CM184),
   ""))</f>
        <v>34.920634920634917</v>
      </c>
      <c r="DG184" s="85">
        <f t="shared" ref="DG184:DG186" si="168">SUM(CL184,CM184)</f>
        <v>63</v>
      </c>
      <c r="DH184" s="84" t="s">
        <v>240</v>
      </c>
      <c r="DL184" s="89" t="s">
        <v>569</v>
      </c>
      <c r="DO184" s="84" t="s">
        <v>239</v>
      </c>
      <c r="DP184" s="84"/>
      <c r="DQ184" s="84"/>
      <c r="DR184" s="84"/>
      <c r="ES184" s="88">
        <v>87.59</v>
      </c>
      <c r="ET184" s="88">
        <v>12.04</v>
      </c>
      <c r="EU184" s="88">
        <v>79.83</v>
      </c>
      <c r="EV184" s="88">
        <v>14.14</v>
      </c>
      <c r="FI184" s="88">
        <v>122.82</v>
      </c>
      <c r="FJ184" s="88">
        <v>32.24</v>
      </c>
      <c r="FK184" s="88">
        <v>137.83000000000001</v>
      </c>
      <c r="FL184" s="88">
        <v>30.48</v>
      </c>
      <c r="FM184" s="88">
        <v>34.71</v>
      </c>
      <c r="FN184" s="88">
        <v>11.57</v>
      </c>
      <c r="FO184" s="88">
        <v>43.62</v>
      </c>
      <c r="FP184" s="88">
        <v>12.77</v>
      </c>
      <c r="FQ184" s="88">
        <v>102.06</v>
      </c>
      <c r="FR184" s="88">
        <v>28.37</v>
      </c>
      <c r="FS184" s="88">
        <v>115.03</v>
      </c>
      <c r="FT184" s="88">
        <v>28.97</v>
      </c>
      <c r="FU184" s="88"/>
      <c r="FV184" s="88"/>
      <c r="FW184" s="88"/>
      <c r="FX184" s="88"/>
      <c r="GK184" s="88">
        <v>61.38</v>
      </c>
      <c r="GL184" s="88">
        <v>11.04</v>
      </c>
      <c r="GM184" s="88">
        <v>47.07</v>
      </c>
      <c r="GN184" s="88">
        <v>7.7</v>
      </c>
      <c r="HA184" s="88">
        <v>56.32</v>
      </c>
      <c r="HB184" s="88">
        <v>13.51</v>
      </c>
      <c r="HC184" s="88">
        <v>43.38</v>
      </c>
      <c r="HD184" s="88">
        <v>10.28</v>
      </c>
      <c r="JU184" s="84" t="s">
        <v>252</v>
      </c>
    </row>
    <row r="185" spans="1:281" s="8" customFormat="1" ht="20" customHeight="1" x14ac:dyDescent="0.2">
      <c r="A185" s="35">
        <v>38</v>
      </c>
      <c r="B185" s="7" t="s">
        <v>792</v>
      </c>
      <c r="C185" s="7" t="s">
        <v>565</v>
      </c>
      <c r="D185" s="7" t="s">
        <v>231</v>
      </c>
      <c r="E185" s="8">
        <v>36</v>
      </c>
      <c r="F185" s="8" t="s">
        <v>239</v>
      </c>
      <c r="G185" s="7" t="s">
        <v>237</v>
      </c>
      <c r="H185" s="7">
        <v>38271282</v>
      </c>
      <c r="I185" s="7"/>
      <c r="J185" s="7" t="s">
        <v>566</v>
      </c>
      <c r="K185" s="8">
        <v>2024</v>
      </c>
      <c r="L185" s="12" t="s">
        <v>418</v>
      </c>
      <c r="N185" s="7" t="s">
        <v>234</v>
      </c>
      <c r="O185" s="7" t="s">
        <v>425</v>
      </c>
      <c r="P185" s="36" t="s">
        <v>817</v>
      </c>
      <c r="Q185" s="36" t="s">
        <v>817</v>
      </c>
      <c r="R185" s="36"/>
      <c r="S185" s="36"/>
      <c r="T185" s="36"/>
      <c r="U185" s="36"/>
      <c r="V185" s="7" t="s">
        <v>236</v>
      </c>
      <c r="W185" s="7" t="s">
        <v>237</v>
      </c>
      <c r="X185" s="7" t="s">
        <v>284</v>
      </c>
      <c r="Y185" s="7" t="s">
        <v>828</v>
      </c>
      <c r="Z185" s="7" t="s">
        <v>237</v>
      </c>
      <c r="AB185" s="7" t="s">
        <v>237</v>
      </c>
      <c r="AC185" s="7" t="s">
        <v>942</v>
      </c>
      <c r="AD185" s="7" t="s">
        <v>239</v>
      </c>
      <c r="AE185" s="7" t="s">
        <v>873</v>
      </c>
      <c r="AF185" s="7" t="s">
        <v>239</v>
      </c>
      <c r="AG185" s="7" t="s">
        <v>237</v>
      </c>
      <c r="AH185" s="7" t="s">
        <v>239</v>
      </c>
      <c r="AI185" s="8">
        <v>35</v>
      </c>
      <c r="AK185" s="7" t="s">
        <v>239</v>
      </c>
      <c r="AL185" s="8">
        <v>2000</v>
      </c>
      <c r="AM185" s="7" t="s">
        <v>259</v>
      </c>
      <c r="AN185" s="7" t="s">
        <v>426</v>
      </c>
      <c r="AO185" s="7"/>
      <c r="AP185" s="7"/>
      <c r="AQ185" s="7"/>
      <c r="AR185" s="8">
        <v>32</v>
      </c>
      <c r="AS185" s="11">
        <v>6.72</v>
      </c>
      <c r="AT185" s="11">
        <v>2.1</v>
      </c>
      <c r="AU185" s="11">
        <v>6.47</v>
      </c>
      <c r="AV185" s="11">
        <v>1.62</v>
      </c>
      <c r="AW185" s="8">
        <v>20</v>
      </c>
      <c r="AX185" s="7" t="s">
        <v>253</v>
      </c>
      <c r="AY185" s="7" t="s">
        <v>245</v>
      </c>
      <c r="BB185" s="7" t="s">
        <v>246</v>
      </c>
      <c r="BC185" s="11">
        <v>8.08</v>
      </c>
      <c r="BD185" s="11">
        <v>1.19</v>
      </c>
      <c r="BE185" s="11"/>
      <c r="BF185" s="11">
        <v>8.6999999999999993</v>
      </c>
      <c r="BG185" s="11">
        <v>1.25</v>
      </c>
      <c r="BH185" s="11"/>
      <c r="BI185" s="10">
        <v>4.9000000000000002E-2</v>
      </c>
      <c r="BJ185" s="8">
        <v>2</v>
      </c>
      <c r="BK185" s="5" t="str">
        <f t="shared" si="163"/>
        <v>Control_greater_than_case</v>
      </c>
      <c r="BP185" s="7" t="s">
        <v>240</v>
      </c>
      <c r="BR185" s="7" t="s">
        <v>262</v>
      </c>
      <c r="CG185" s="7" t="s">
        <v>239</v>
      </c>
      <c r="CH185" s="7" t="s">
        <v>237</v>
      </c>
      <c r="CJ185" s="7" t="s">
        <v>239</v>
      </c>
      <c r="CK185" s="7" t="s">
        <v>248</v>
      </c>
      <c r="CL185" s="8">
        <v>29</v>
      </c>
      <c r="CM185" s="8">
        <v>34</v>
      </c>
      <c r="CN185" s="7" t="s">
        <v>249</v>
      </c>
      <c r="CO185" s="7" t="s">
        <v>249</v>
      </c>
      <c r="CP185" s="7" t="s">
        <v>249</v>
      </c>
      <c r="CQ185" s="5" t="s">
        <v>567</v>
      </c>
      <c r="CR185" s="5" t="s">
        <v>568</v>
      </c>
      <c r="CU185" s="38">
        <v>37.03</v>
      </c>
      <c r="CV185" s="38">
        <v>9.85</v>
      </c>
      <c r="CW185" s="38">
        <v>41.41</v>
      </c>
      <c r="CX185" s="38">
        <v>13.14</v>
      </c>
      <c r="CY185" s="38">
        <f t="shared" si="164"/>
        <v>39.393809523809523</v>
      </c>
      <c r="CZ185" s="38">
        <f t="shared" si="165"/>
        <v>11.855751214763215</v>
      </c>
      <c r="DA185" s="7">
        <v>11</v>
      </c>
      <c r="DB185" s="41">
        <f t="shared" si="135"/>
        <v>37.931034482758619</v>
      </c>
      <c r="DC185" s="8">
        <v>11</v>
      </c>
      <c r="DD185" s="41">
        <f t="shared" si="166"/>
        <v>32.352941176470587</v>
      </c>
      <c r="DE185" s="28">
        <f t="shared" si="167"/>
        <v>34.920634920634917</v>
      </c>
      <c r="DG185" s="8">
        <f t="shared" si="168"/>
        <v>63</v>
      </c>
      <c r="DH185" s="7" t="s">
        <v>240</v>
      </c>
      <c r="DL185" s="5" t="s">
        <v>569</v>
      </c>
      <c r="DO185" s="7" t="s">
        <v>239</v>
      </c>
      <c r="DP185" s="7"/>
      <c r="DQ185" s="7"/>
      <c r="DR185" s="7"/>
      <c r="ES185" s="11">
        <v>87.59</v>
      </c>
      <c r="ET185" s="11">
        <v>12.04</v>
      </c>
      <c r="EU185" s="11">
        <v>79.83</v>
      </c>
      <c r="EV185" s="11">
        <v>14.14</v>
      </c>
      <c r="FI185" s="11">
        <v>122.82</v>
      </c>
      <c r="FJ185" s="11">
        <v>32.24</v>
      </c>
      <c r="FK185" s="11">
        <v>137.83000000000001</v>
      </c>
      <c r="FL185" s="11">
        <v>30.48</v>
      </c>
      <c r="FM185" s="11">
        <v>34.71</v>
      </c>
      <c r="FN185" s="11">
        <v>11.57</v>
      </c>
      <c r="FO185" s="11">
        <v>43.62</v>
      </c>
      <c r="FP185" s="11">
        <v>12.77</v>
      </c>
      <c r="FQ185" s="11">
        <v>102.06</v>
      </c>
      <c r="FR185" s="11">
        <v>28.37</v>
      </c>
      <c r="FS185" s="11">
        <v>115.03</v>
      </c>
      <c r="FT185" s="11">
        <v>28.97</v>
      </c>
      <c r="FU185" s="11"/>
      <c r="FV185" s="11"/>
      <c r="FW185" s="11"/>
      <c r="FX185" s="11"/>
      <c r="GK185" s="11">
        <v>61.38</v>
      </c>
      <c r="GL185" s="11">
        <v>11.04</v>
      </c>
      <c r="GM185" s="11">
        <v>47.07</v>
      </c>
      <c r="GN185" s="11">
        <v>7.7</v>
      </c>
      <c r="HA185" s="11">
        <v>56.32</v>
      </c>
      <c r="HB185" s="11">
        <v>13.51</v>
      </c>
      <c r="HC185" s="11">
        <v>43.38</v>
      </c>
      <c r="HD185" s="11">
        <v>10.28</v>
      </c>
      <c r="JU185" s="7" t="s">
        <v>252</v>
      </c>
    </row>
    <row r="186" spans="1:281" s="64" customFormat="1" ht="20" customHeight="1" x14ac:dyDescent="0.2">
      <c r="A186" s="106">
        <v>38</v>
      </c>
      <c r="B186" s="71" t="s">
        <v>793</v>
      </c>
      <c r="C186" s="71" t="s">
        <v>565</v>
      </c>
      <c r="D186" s="71" t="s">
        <v>231</v>
      </c>
      <c r="E186" s="64">
        <v>36</v>
      </c>
      <c r="F186" s="64" t="s">
        <v>239</v>
      </c>
      <c r="G186" s="71" t="s">
        <v>237</v>
      </c>
      <c r="H186" s="71">
        <v>38271282</v>
      </c>
      <c r="I186" s="71"/>
      <c r="J186" s="71" t="s">
        <v>566</v>
      </c>
      <c r="K186" s="64">
        <v>2024</v>
      </c>
      <c r="L186" s="124" t="s">
        <v>418</v>
      </c>
      <c r="N186" s="71" t="s">
        <v>295</v>
      </c>
      <c r="O186" s="71" t="s">
        <v>427</v>
      </c>
      <c r="P186" s="112" t="s">
        <v>819</v>
      </c>
      <c r="Q186" s="112" t="s">
        <v>1008</v>
      </c>
      <c r="R186" s="112"/>
      <c r="S186" s="112"/>
      <c r="T186" s="112"/>
      <c r="U186" s="112" t="s">
        <v>298</v>
      </c>
      <c r="V186" s="71" t="s">
        <v>236</v>
      </c>
      <c r="W186" s="71" t="s">
        <v>237</v>
      </c>
      <c r="X186" s="71" t="s">
        <v>284</v>
      </c>
      <c r="Y186" s="71" t="s">
        <v>828</v>
      </c>
      <c r="Z186" s="71" t="s">
        <v>237</v>
      </c>
      <c r="AB186" s="71" t="s">
        <v>237</v>
      </c>
      <c r="AC186" s="71" t="s">
        <v>943</v>
      </c>
      <c r="AD186" s="71" t="s">
        <v>239</v>
      </c>
      <c r="AE186" s="71" t="s">
        <v>873</v>
      </c>
      <c r="AF186" s="71" t="s">
        <v>239</v>
      </c>
      <c r="AG186" s="71" t="s">
        <v>237</v>
      </c>
      <c r="AH186" s="71" t="s">
        <v>239</v>
      </c>
      <c r="AI186" s="64">
        <v>35</v>
      </c>
      <c r="AK186" s="71" t="s">
        <v>239</v>
      </c>
      <c r="AL186" s="64">
        <v>2000</v>
      </c>
      <c r="AM186" s="71" t="s">
        <v>259</v>
      </c>
      <c r="AN186" s="71" t="s">
        <v>342</v>
      </c>
      <c r="AO186" s="71"/>
      <c r="AP186" s="71"/>
      <c r="AQ186" s="71"/>
      <c r="AR186" s="64">
        <v>32</v>
      </c>
      <c r="AS186" s="65">
        <v>8.0299999999999994</v>
      </c>
      <c r="AT186" s="65">
        <v>1.7</v>
      </c>
      <c r="AU186" s="65">
        <v>8.65</v>
      </c>
      <c r="AV186" s="65">
        <v>2.57</v>
      </c>
      <c r="AW186" s="64">
        <v>20</v>
      </c>
      <c r="AX186" s="71" t="s">
        <v>253</v>
      </c>
      <c r="AY186" s="71" t="s">
        <v>245</v>
      </c>
      <c r="BB186" s="71" t="s">
        <v>246</v>
      </c>
      <c r="BC186" s="65">
        <v>6.33</v>
      </c>
      <c r="BD186" s="65">
        <v>0.88</v>
      </c>
      <c r="BE186" s="65"/>
      <c r="BF186" s="65">
        <v>7.02</v>
      </c>
      <c r="BG186" s="65">
        <v>1.1599999999999999</v>
      </c>
      <c r="BH186" s="65"/>
      <c r="BI186" s="114">
        <v>0.01</v>
      </c>
      <c r="BJ186" s="64">
        <v>2</v>
      </c>
      <c r="BK186" s="73" t="str">
        <f t="shared" si="163"/>
        <v>Control_greater_than_case</v>
      </c>
      <c r="BP186" s="71" t="s">
        <v>240</v>
      </c>
      <c r="BR186" s="71" t="s">
        <v>262</v>
      </c>
      <c r="CG186" s="71" t="s">
        <v>239</v>
      </c>
      <c r="CH186" s="71" t="s">
        <v>237</v>
      </c>
      <c r="CJ186" s="71" t="s">
        <v>239</v>
      </c>
      <c r="CK186" s="71" t="s">
        <v>248</v>
      </c>
      <c r="CL186" s="64">
        <v>29</v>
      </c>
      <c r="CM186" s="64">
        <v>34</v>
      </c>
      <c r="CN186" s="71" t="s">
        <v>249</v>
      </c>
      <c r="CO186" s="71" t="s">
        <v>249</v>
      </c>
      <c r="CP186" s="71" t="s">
        <v>249</v>
      </c>
      <c r="CQ186" s="73" t="s">
        <v>567</v>
      </c>
      <c r="CR186" s="73" t="s">
        <v>568</v>
      </c>
      <c r="CU186" s="109">
        <v>37.03</v>
      </c>
      <c r="CV186" s="109">
        <v>9.85</v>
      </c>
      <c r="CW186" s="109">
        <v>41.41</v>
      </c>
      <c r="CX186" s="109">
        <v>13.14</v>
      </c>
      <c r="CY186" s="109">
        <f t="shared" si="164"/>
        <v>39.393809523809523</v>
      </c>
      <c r="CZ186" s="109">
        <f t="shared" si="165"/>
        <v>11.855751214763215</v>
      </c>
      <c r="DA186" s="71">
        <v>11</v>
      </c>
      <c r="DB186" s="115">
        <f t="shared" si="135"/>
        <v>37.931034482758619</v>
      </c>
      <c r="DC186" s="64">
        <v>11</v>
      </c>
      <c r="DD186" s="115">
        <f t="shared" si="166"/>
        <v>32.352941176470587</v>
      </c>
      <c r="DE186" s="80">
        <f t="shared" si="167"/>
        <v>34.920634920634917</v>
      </c>
      <c r="DG186" s="64">
        <f t="shared" si="168"/>
        <v>63</v>
      </c>
      <c r="DH186" s="71" t="s">
        <v>240</v>
      </c>
      <c r="DL186" s="73" t="s">
        <v>569</v>
      </c>
      <c r="DO186" s="71" t="s">
        <v>239</v>
      </c>
      <c r="DP186" s="71"/>
      <c r="DQ186" s="71"/>
      <c r="DR186" s="71"/>
      <c r="ES186" s="65">
        <v>87.59</v>
      </c>
      <c r="ET186" s="65">
        <v>12.04</v>
      </c>
      <c r="EU186" s="65">
        <v>79.83</v>
      </c>
      <c r="EV186" s="65">
        <v>14.14</v>
      </c>
      <c r="FI186" s="65">
        <v>122.82</v>
      </c>
      <c r="FJ186" s="65">
        <v>32.24</v>
      </c>
      <c r="FK186" s="65">
        <v>137.83000000000001</v>
      </c>
      <c r="FL186" s="65">
        <v>30.48</v>
      </c>
      <c r="FM186" s="65">
        <v>34.71</v>
      </c>
      <c r="FN186" s="65">
        <v>11.57</v>
      </c>
      <c r="FO186" s="65">
        <v>43.62</v>
      </c>
      <c r="FP186" s="65">
        <v>12.77</v>
      </c>
      <c r="FQ186" s="65">
        <v>102.06</v>
      </c>
      <c r="FR186" s="65">
        <v>28.37</v>
      </c>
      <c r="FS186" s="65">
        <v>115.03</v>
      </c>
      <c r="FT186" s="65">
        <v>28.97</v>
      </c>
      <c r="FU186" s="65"/>
      <c r="FV186" s="65"/>
      <c r="FW186" s="65"/>
      <c r="FX186" s="65"/>
      <c r="GK186" s="65">
        <v>61.38</v>
      </c>
      <c r="GL186" s="65">
        <v>11.04</v>
      </c>
      <c r="GM186" s="65">
        <v>47.07</v>
      </c>
      <c r="GN186" s="65">
        <v>7.7</v>
      </c>
      <c r="HA186" s="65">
        <v>56.32</v>
      </c>
      <c r="HB186" s="65">
        <v>13.51</v>
      </c>
      <c r="HC186" s="65">
        <v>43.38</v>
      </c>
      <c r="HD186" s="65">
        <v>10.28</v>
      </c>
      <c r="JU186" s="71" t="s">
        <v>252</v>
      </c>
    </row>
    <row r="187" spans="1:281" s="97" customFormat="1" ht="20" customHeight="1" x14ac:dyDescent="0.2">
      <c r="A187" s="95"/>
      <c r="L187" s="148"/>
      <c r="P187" s="99"/>
      <c r="Q187" s="99"/>
      <c r="R187" s="99"/>
      <c r="S187" s="99"/>
      <c r="T187" s="99"/>
      <c r="U187" s="99"/>
    </row>
    <row r="188" spans="1:281" s="90" customFormat="1" ht="20" customHeight="1" x14ac:dyDescent="0.2">
      <c r="A188" s="161"/>
      <c r="F188" s="85"/>
      <c r="G188" s="85"/>
      <c r="H188" s="85"/>
      <c r="I188" s="85"/>
      <c r="L188" s="162"/>
      <c r="P188" s="163"/>
      <c r="Q188" s="163"/>
      <c r="R188" s="163"/>
      <c r="S188" s="163"/>
      <c r="T188" s="163"/>
      <c r="U188" s="163"/>
      <c r="CR188" s="89"/>
    </row>
    <row r="189" spans="1:281" x14ac:dyDescent="0.2">
      <c r="P189" s="52"/>
      <c r="Q189" s="52"/>
      <c r="R189" s="52"/>
      <c r="S189" s="52"/>
      <c r="T189" s="52"/>
      <c r="U189" s="52"/>
    </row>
  </sheetData>
  <phoneticPr fontId="16" type="noConversion"/>
  <hyperlinks>
    <hyperlink ref="L2" r:id="rId1" xr:uid="{EFB0BA5F-1644-6A4D-A36E-F636AE161BAE}"/>
    <hyperlink ref="L3" r:id="rId2" xr:uid="{3A5E7091-87D0-8E4A-BC72-3D0EC343F898}"/>
    <hyperlink ref="L4" r:id="rId3" xr:uid="{57C36FA8-8C0F-1E4A-8F65-8DAAF9D2566C}"/>
    <hyperlink ref="L5" r:id="rId4" xr:uid="{CBD0A2B5-CDCE-6C4B-BA42-7EE1D184235E}"/>
    <hyperlink ref="L7" r:id="rId5" xr:uid="{00112EC1-3892-2F48-9CFB-EB93EC377287}"/>
    <hyperlink ref="L8" r:id="rId6" xr:uid="{C22486F7-90BF-4A46-9EFE-385E68C1426D}"/>
    <hyperlink ref="L9" r:id="rId7" xr:uid="{A37DFAB5-C008-6C4F-8276-A5578FDCE110}"/>
    <hyperlink ref="L10" r:id="rId8" xr:uid="{C43F4551-1F5B-4144-A296-063086E7E68D}"/>
    <hyperlink ref="L12:L23" r:id="rId9" display="daniel.pelletier@yale.edu" xr:uid="{7EC72E54-FE6F-B54F-9C68-0D64DEF0B440}"/>
    <hyperlink ref="L25" r:id="rId10" xr:uid="{F60F2A0E-2F61-5641-BC19-1F474F0C73C0}"/>
    <hyperlink ref="L26:L27" r:id="rId11" display="n.cawley@ucl.ac.uk" xr:uid="{BBC40941-3237-3744-B339-09AE3C3B8052}"/>
    <hyperlink ref="L29" r:id="rId12" xr:uid="{1433B12E-30B8-A641-AA8D-3492A7D699C9}"/>
    <hyperlink ref="L30" r:id="rId13" xr:uid="{0DD76CE8-A003-A84F-AD8D-35B6F555E717}"/>
    <hyperlink ref="L32" r:id="rId14" xr:uid="{EFA8B1DB-21B0-8947-B1B9-DA37378F8A9F}"/>
    <hyperlink ref="L34" r:id="rId15" xr:uid="{C4655F57-2D62-8B45-8EE0-EA02AD4AB60B}"/>
    <hyperlink ref="L36" r:id="rId16" xr:uid="{F27EF784-D40E-394F-A46E-0D3DE57391A2}"/>
    <hyperlink ref="L38" r:id="rId17" xr:uid="{A983A6BC-6016-B941-B143-B3E34C59FCF2}"/>
    <hyperlink ref="L39" r:id="rId18" xr:uid="{50EE7E9E-8343-8B4E-B552-0F32FC054F91}"/>
    <hyperlink ref="L40" r:id="rId19" xr:uid="{9E4981C7-34FD-4744-BB4A-8B0FAD4AF662}"/>
    <hyperlink ref="L41" r:id="rId20" xr:uid="{6AB0BA55-D402-F64A-A3A5-148B6B96FE98}"/>
    <hyperlink ref="L43" r:id="rId21" xr:uid="{44424495-0D54-4D4C-ADB5-7BEB8D537463}"/>
    <hyperlink ref="L44" r:id="rId22" xr:uid="{10337BA2-2ED6-D24A-8169-141DCEBE4D34}"/>
    <hyperlink ref="L45" r:id="rId23" xr:uid="{755047F9-E28E-7743-81BD-F485B8867066}"/>
    <hyperlink ref="L46" r:id="rId24" xr:uid="{DBB533D3-0A63-A34C-BF25-AC31E0BBB3BD}"/>
    <hyperlink ref="L48" r:id="rId25" xr:uid="{FB3EE17E-E5CB-8E4F-BC52-073B95E77976}"/>
    <hyperlink ref="L49" r:id="rId26" xr:uid="{C73C4611-E573-154D-AB48-D8A4E3FAA431}"/>
    <hyperlink ref="L51" r:id="rId27" xr:uid="{4E94245B-CA77-5C46-A5FA-E756D5FDA1E1}"/>
    <hyperlink ref="L52" r:id="rId28" xr:uid="{677F0694-D86E-E14A-BC9E-513802EAA661}"/>
    <hyperlink ref="L53" r:id="rId29" xr:uid="{50790820-C190-5B40-918A-2EADEF1A333A}"/>
    <hyperlink ref="L54" r:id="rId30" xr:uid="{6C805DB6-DF92-594C-8F26-5937460C997D}"/>
    <hyperlink ref="L56" r:id="rId31" xr:uid="{4145AB97-3F36-964F-BAE6-76AA17C65387}"/>
    <hyperlink ref="L57" r:id="rId32" xr:uid="{E9914A21-4C92-1441-B261-0C3C47E861DD}"/>
    <hyperlink ref="L58" r:id="rId33" xr:uid="{D6FB0CB9-FCCD-754B-8D31-3CB00C187D7C}"/>
    <hyperlink ref="L59" r:id="rId34" xr:uid="{D55ECDCE-75F8-0A4E-B53E-35B269A9466A}"/>
    <hyperlink ref="L61" r:id="rId35" xr:uid="{B98714BD-C881-D54E-AC9D-0F9D2469AE9B}"/>
    <hyperlink ref="L62" r:id="rId36" xr:uid="{411D80BF-B6F4-3248-A99F-1AAED0DDE3E8}"/>
    <hyperlink ref="L67" r:id="rId37" xr:uid="{CA1B7F4E-A345-DA48-990C-09845754AF07}"/>
    <hyperlink ref="L68" r:id="rId38" xr:uid="{E5F63C56-41F5-E745-A750-469654D06E18}"/>
    <hyperlink ref="L69" r:id="rId39" xr:uid="{C3E40597-C978-6544-8D6C-5FB6FCB70AF4}"/>
    <hyperlink ref="L70" r:id="rId40" xr:uid="{324C95ED-91E3-8547-A63A-45343145A6EF}"/>
    <hyperlink ref="L71" r:id="rId41" xr:uid="{7B5E6D00-56A9-0944-A682-895F0A75212D}"/>
    <hyperlink ref="L72" r:id="rId42" xr:uid="{0DE88886-FC3C-F245-8288-6FFFCBB8AB0D}"/>
    <hyperlink ref="L74" r:id="rId43" xr:uid="{D172BF53-D09D-5347-88F1-0F51051C8F9B}"/>
    <hyperlink ref="L75" r:id="rId44" xr:uid="{8DCE4DB0-C44F-9F46-9DA4-E3EC293B5642}"/>
    <hyperlink ref="L76" r:id="rId45" xr:uid="{5F7DDC28-E7B6-2C4C-AC6C-6A891A352A74}"/>
    <hyperlink ref="L77" r:id="rId46" xr:uid="{E009C2A0-ADA0-AB41-AA0E-CD8D1EA1F86B}"/>
    <hyperlink ref="L79" r:id="rId47" xr:uid="{4EE510A5-6CBE-1441-84A2-A600F6ED1D97}"/>
    <hyperlink ref="L104" r:id="rId48" xr:uid="{7945857A-107D-7C4C-BBB4-45F6E5AC4372}"/>
    <hyperlink ref="L105" r:id="rId49" xr:uid="{A9507311-9E50-C941-AE34-22B530F7BD47}"/>
    <hyperlink ref="L107" r:id="rId50" xr:uid="{721E8C4E-B2BB-7B4A-9F24-05839B0696A2}"/>
    <hyperlink ref="L108" r:id="rId51" xr:uid="{E7CAC296-5CFA-7F4E-9092-B582172398D1}"/>
    <hyperlink ref="L109" r:id="rId52" xr:uid="{054FEAAD-EC1D-544F-9C3F-60444BD9C288}"/>
    <hyperlink ref="L110" r:id="rId53" xr:uid="{914B5EA5-AA9B-B249-AE0E-4E0CD3D0C9EE}"/>
    <hyperlink ref="L111" r:id="rId54" xr:uid="{26EB9D68-F449-8F45-BC93-7F2A83532160}"/>
    <hyperlink ref="L112" r:id="rId55" xr:uid="{61B068D3-81FE-274A-B563-BE0739037AE2}"/>
    <hyperlink ref="L113" r:id="rId56" xr:uid="{CFBDBB28-9E26-EB49-9CAA-8105312FCC4B}"/>
    <hyperlink ref="L114" r:id="rId57" xr:uid="{E83ADEE2-9FCA-254F-8727-A52D192CBEA1}"/>
    <hyperlink ref="L116" r:id="rId58" xr:uid="{62CC0B98-753F-1146-8175-C0895395B0D1}"/>
    <hyperlink ref="L117" r:id="rId59" xr:uid="{B5862B03-C733-6C43-86BB-A60B17DCCE8B}"/>
    <hyperlink ref="L119" r:id="rId60" xr:uid="{1ADBC670-EF6A-AC43-9DA4-4009E658DDAF}"/>
    <hyperlink ref="L120" r:id="rId61" xr:uid="{FEF292D1-F6A7-A14D-9DA6-854071A314F6}"/>
    <hyperlink ref="L121" r:id="rId62" xr:uid="{AFF35DD1-385B-B142-A25D-A9ADD1FBAEB3}"/>
    <hyperlink ref="L122" r:id="rId63" xr:uid="{8DC133A9-4936-B742-A308-5866076A5111}"/>
    <hyperlink ref="L124" r:id="rId64" xr:uid="{8EEB1026-7843-0A48-9B59-71E07A2E17A6}"/>
    <hyperlink ref="L125" r:id="rId65" xr:uid="{400932EE-1D74-8544-9BDE-C30F604658FC}"/>
    <hyperlink ref="L127" r:id="rId66" xr:uid="{21BC092B-CBC5-E748-9403-1BA52166611B}"/>
    <hyperlink ref="L128" r:id="rId67" xr:uid="{22651743-AA46-EC46-8F14-18BDAA344A7D}"/>
    <hyperlink ref="L130" r:id="rId68" xr:uid="{390999E6-4531-1C44-872C-7751034C486F}"/>
    <hyperlink ref="L131" r:id="rId69" xr:uid="{E5170B86-02AF-1448-8288-B96A0AB4A912}"/>
    <hyperlink ref="L132" r:id="rId70" xr:uid="{5EB9E3D1-C0E0-FD4B-A9AA-BDB4E6427EDA}"/>
    <hyperlink ref="L133" r:id="rId71" xr:uid="{732B99DF-92CF-344E-8392-61D890CE8CB6}"/>
    <hyperlink ref="L134" r:id="rId72" xr:uid="{4CE8108D-326E-0A4F-A28B-A08C84BD9A6F}"/>
    <hyperlink ref="L135" r:id="rId73" xr:uid="{C3281137-F8C0-C94D-8B23-0E39C0DF79D7}"/>
    <hyperlink ref="L137" r:id="rId74" xr:uid="{C74465A4-399D-C143-9307-E55B415DEA93}"/>
    <hyperlink ref="L138" r:id="rId75" xr:uid="{1D7BA182-70FD-D04E-A81D-A160FC27D151}"/>
    <hyperlink ref="L139" r:id="rId76" xr:uid="{FCCF84B6-C521-B44F-ABA5-8A7B1AB75CDA}"/>
    <hyperlink ref="L140" r:id="rId77" xr:uid="{0AF4853C-4B89-5548-B059-0E7F7D6CEB7A}"/>
    <hyperlink ref="L141" r:id="rId78" xr:uid="{9A0F0C8A-E19E-3F47-832D-C649C38AC15F}"/>
    <hyperlink ref="L147" r:id="rId79" xr:uid="{4F40BCA8-FE8D-BF45-8117-3624117534DF}"/>
    <hyperlink ref="L148" r:id="rId80" xr:uid="{B23846A0-E8BC-9D4A-B6DC-5D70B3CB1DED}"/>
    <hyperlink ref="L149" r:id="rId81" xr:uid="{3DD73B20-472D-F441-BBFA-F3A64ACBEFCC}"/>
    <hyperlink ref="L150" r:id="rId82" xr:uid="{980E0020-D524-F34C-AB2B-0749DA4E6FCF}"/>
    <hyperlink ref="L151" r:id="rId83" xr:uid="{89E35F18-A057-E049-862B-7A1A01B5485B}"/>
    <hyperlink ref="L152" r:id="rId84" xr:uid="{485D519E-C42A-2548-BA49-1F13FDAD0A65}"/>
    <hyperlink ref="L153" r:id="rId85" xr:uid="{FC2CC1DD-6125-104E-923F-57F7F018BCB0}"/>
    <hyperlink ref="L154" r:id="rId86" xr:uid="{611A42D6-093A-6B4C-A7EE-1848D734D16F}"/>
    <hyperlink ref="L156" r:id="rId87" xr:uid="{3B896017-0136-D248-B76A-FCFCFCF11CF3}"/>
    <hyperlink ref="L157" r:id="rId88" xr:uid="{B63A0219-0A62-AB4C-9FBC-09B7067933DC}"/>
    <hyperlink ref="L158" r:id="rId89" xr:uid="{B8D0AA9E-2C0C-F842-B087-B9EBB059A1F7}"/>
    <hyperlink ref="L159" r:id="rId90" xr:uid="{066A057F-B03F-D44E-AB84-AEEA526DC2AB}"/>
    <hyperlink ref="L160" r:id="rId91" xr:uid="{49ED1BCC-EB74-2A45-AD33-C3885D542DB0}"/>
    <hyperlink ref="L165" r:id="rId92" xr:uid="{6AC9E19F-B314-7C42-B2F4-984FF2467323}"/>
    <hyperlink ref="L166:L180" r:id="rId93" display="o.wiebenga@vumc.nl" xr:uid="{D566D25B-C1B1-1541-986F-59D6D5DC33EF}"/>
    <hyperlink ref="L184" r:id="rId94" xr:uid="{876E6E56-00FD-2A41-86EE-7EEB000CE3C6}"/>
    <hyperlink ref="L185" r:id="rId95" xr:uid="{3C2C735F-9DCC-234E-A3C2-3422754D665A}"/>
    <hyperlink ref="L186" r:id="rId96" xr:uid="{8BC1C870-AAF0-C744-9328-903E15279E7A}"/>
    <hyperlink ref="L182" r:id="rId97" xr:uid="{1469D2DC-47B9-7748-878C-B27E4904C2F9}"/>
    <hyperlink ref="L64" r:id="rId98" xr:uid="{E99480B5-CA2D-BF4E-8D62-CDCD4BD4160E}"/>
    <hyperlink ref="L65" r:id="rId99" xr:uid="{57C2D2F4-6B4D-A040-B41F-1292464116C0}"/>
    <hyperlink ref="L80:L102" r:id="rId100" display="MuhlertN@cardiff.ac.uk" xr:uid="{92D1E9E5-96B3-784A-A0AA-54D02DC4E84C}"/>
    <hyperlink ref="L142" r:id="rId101" xr:uid="{24E2B1D1-D1A6-7E47-9C1E-F6034DF8F967}"/>
    <hyperlink ref="L143" r:id="rId102" xr:uid="{4BBDB8B4-0BC1-9E4F-974D-DE331A82B2B3}"/>
    <hyperlink ref="L144" r:id="rId103" xr:uid="{E92996CE-07A4-1B41-8070-D000F7D9A6F1}"/>
    <hyperlink ref="L145" r:id="rId104" xr:uid="{1B9C2788-E9BF-1346-9BA2-18C7EC3BD22B}"/>
    <hyperlink ref="L161" r:id="rId105" xr:uid="{B169F0E5-AA3A-9048-94AD-1134BA803C9D}"/>
    <hyperlink ref="L162" r:id="rId106" xr:uid="{8AB93177-464B-D040-BCEA-6A54CADA5F51}"/>
    <hyperlink ref="L163" r:id="rId107" xr:uid="{A2149DB2-234C-3F44-A60A-B722E051F349}"/>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C9963-997A-B44A-B55B-DAE3133CD9A6}">
  <dimension ref="A1:F29"/>
  <sheetViews>
    <sheetView workbookViewId="0">
      <selection activeCell="H19" sqref="H19"/>
    </sheetView>
  </sheetViews>
  <sheetFormatPr baseColWidth="10" defaultRowHeight="16" x14ac:dyDescent="0.2"/>
  <cols>
    <col min="1" max="1" width="15.83203125" style="16" bestFit="1" customWidth="1"/>
    <col min="2" max="2" width="10.83203125" style="16"/>
    <col min="3" max="3" width="16" style="16" bestFit="1" customWidth="1"/>
    <col min="4" max="4" width="18.1640625" style="16" bestFit="1" customWidth="1"/>
    <col min="5" max="5" width="10.83203125" style="16"/>
    <col min="6" max="6" width="21.1640625" style="16" bestFit="1" customWidth="1"/>
    <col min="7" max="16384" width="10.83203125" style="16"/>
  </cols>
  <sheetData>
    <row r="1" spans="1:6" x14ac:dyDescent="0.2">
      <c r="A1" s="14" t="s">
        <v>1</v>
      </c>
      <c r="B1" s="14" t="s">
        <v>4</v>
      </c>
      <c r="C1" s="14" t="s">
        <v>56</v>
      </c>
      <c r="D1" s="14" t="s">
        <v>57</v>
      </c>
      <c r="E1" s="14" t="s">
        <v>42</v>
      </c>
      <c r="F1" s="14" t="s">
        <v>43</v>
      </c>
    </row>
    <row r="2" spans="1:6" x14ac:dyDescent="0.2">
      <c r="A2" s="59" t="s">
        <v>632</v>
      </c>
      <c r="B2" s="8">
        <v>9</v>
      </c>
      <c r="C2" s="8">
        <v>19</v>
      </c>
      <c r="D2" s="8">
        <v>19</v>
      </c>
      <c r="E2" s="11">
        <v>4.09</v>
      </c>
      <c r="F2" s="8">
        <v>0</v>
      </c>
    </row>
    <row r="3" spans="1:6" x14ac:dyDescent="0.2">
      <c r="A3" s="59" t="s">
        <v>633</v>
      </c>
      <c r="B3" s="8">
        <v>9</v>
      </c>
      <c r="C3" s="8">
        <v>19</v>
      </c>
      <c r="D3" s="8">
        <v>19</v>
      </c>
      <c r="E3" s="11">
        <v>5.54</v>
      </c>
      <c r="F3" s="8">
        <v>0</v>
      </c>
    </row>
    <row r="4" spans="1:6" x14ac:dyDescent="0.2">
      <c r="A4" s="59" t="s">
        <v>571</v>
      </c>
      <c r="B4" s="8">
        <v>9</v>
      </c>
      <c r="C4" s="8">
        <v>19</v>
      </c>
      <c r="D4" s="8">
        <v>19</v>
      </c>
      <c r="E4" s="11">
        <v>3.23</v>
      </c>
      <c r="F4" s="8">
        <v>0</v>
      </c>
    </row>
    <row r="5" spans="1:6" x14ac:dyDescent="0.2">
      <c r="A5" s="59" t="s">
        <v>572</v>
      </c>
      <c r="B5" s="8">
        <v>9</v>
      </c>
      <c r="C5" s="8">
        <v>19</v>
      </c>
      <c r="D5" s="8">
        <v>19</v>
      </c>
      <c r="E5" s="11">
        <v>4.5</v>
      </c>
      <c r="F5" s="8">
        <v>0</v>
      </c>
    </row>
    <row r="6" spans="1:6" x14ac:dyDescent="0.2">
      <c r="A6" s="59" t="s">
        <v>573</v>
      </c>
      <c r="B6" s="8">
        <v>9</v>
      </c>
      <c r="C6" s="8">
        <v>19</v>
      </c>
      <c r="D6" s="8">
        <v>19</v>
      </c>
      <c r="E6" s="11">
        <v>3.67</v>
      </c>
      <c r="F6" s="8">
        <v>0</v>
      </c>
    </row>
    <row r="7" spans="1:6" x14ac:dyDescent="0.2">
      <c r="A7" s="59" t="s">
        <v>574</v>
      </c>
      <c r="B7" s="8">
        <v>9</v>
      </c>
      <c r="C7" s="8">
        <v>19</v>
      </c>
      <c r="D7" s="8">
        <v>19</v>
      </c>
      <c r="E7" s="11">
        <v>3.52</v>
      </c>
      <c r="F7" s="8">
        <v>0</v>
      </c>
    </row>
    <row r="8" spans="1:6" x14ac:dyDescent="0.2">
      <c r="A8" s="59" t="s">
        <v>575</v>
      </c>
      <c r="B8" s="8">
        <v>9</v>
      </c>
      <c r="C8" s="8">
        <v>19</v>
      </c>
      <c r="D8" s="8">
        <v>19</v>
      </c>
      <c r="E8" s="11">
        <v>3.48</v>
      </c>
      <c r="F8" s="8">
        <v>0</v>
      </c>
    </row>
    <row r="9" spans="1:6" x14ac:dyDescent="0.2">
      <c r="A9" s="59" t="s">
        <v>576</v>
      </c>
      <c r="B9" s="8">
        <v>9</v>
      </c>
      <c r="C9" s="8">
        <v>19</v>
      </c>
      <c r="D9" s="8">
        <v>19</v>
      </c>
      <c r="E9" s="11">
        <v>4.34</v>
      </c>
      <c r="F9" s="8">
        <v>0</v>
      </c>
    </row>
    <row r="10" spans="1:6" x14ac:dyDescent="0.2">
      <c r="A10" s="59" t="s">
        <v>577</v>
      </c>
      <c r="B10" s="8">
        <v>9</v>
      </c>
      <c r="C10" s="8">
        <v>19</v>
      </c>
      <c r="D10" s="8">
        <v>19</v>
      </c>
      <c r="E10" s="11">
        <v>4.0999999999999996</v>
      </c>
      <c r="F10" s="8">
        <v>0</v>
      </c>
    </row>
    <row r="11" spans="1:6" x14ac:dyDescent="0.2">
      <c r="A11" s="59" t="s">
        <v>578</v>
      </c>
      <c r="B11" s="8">
        <v>9</v>
      </c>
      <c r="C11" s="8">
        <v>19</v>
      </c>
      <c r="D11" s="8">
        <v>19</v>
      </c>
      <c r="E11" s="11">
        <v>3.99</v>
      </c>
      <c r="F11" s="8">
        <v>0</v>
      </c>
    </row>
    <row r="12" spans="1:6" x14ac:dyDescent="0.2">
      <c r="A12" s="59" t="s">
        <v>579</v>
      </c>
      <c r="B12" s="8">
        <v>9</v>
      </c>
      <c r="C12" s="8">
        <v>19</v>
      </c>
      <c r="D12" s="8">
        <v>19</v>
      </c>
      <c r="E12" s="11">
        <v>3.42</v>
      </c>
      <c r="F12" s="8">
        <v>0</v>
      </c>
    </row>
    <row r="13" spans="1:6" x14ac:dyDescent="0.2">
      <c r="A13" s="59" t="s">
        <v>580</v>
      </c>
      <c r="B13" s="8">
        <v>9</v>
      </c>
      <c r="C13" s="8">
        <v>19</v>
      </c>
      <c r="D13" s="8">
        <v>19</v>
      </c>
      <c r="E13" s="11">
        <v>4.3499999999999996</v>
      </c>
      <c r="F13" s="8">
        <v>0</v>
      </c>
    </row>
    <row r="14" spans="1:6" x14ac:dyDescent="0.2">
      <c r="A14" s="59" t="s">
        <v>581</v>
      </c>
      <c r="B14" s="8">
        <v>9</v>
      </c>
      <c r="C14" s="8">
        <v>19</v>
      </c>
      <c r="D14" s="8">
        <v>19</v>
      </c>
      <c r="E14" s="11">
        <v>3.3</v>
      </c>
      <c r="F14" s="8">
        <v>0</v>
      </c>
    </row>
    <row r="15" spans="1:6" x14ac:dyDescent="0.2">
      <c r="A15" s="59" t="s">
        <v>582</v>
      </c>
      <c r="B15" s="8">
        <v>9</v>
      </c>
      <c r="C15" s="8">
        <v>19</v>
      </c>
      <c r="D15" s="8">
        <v>19</v>
      </c>
      <c r="E15" s="11">
        <v>3.47</v>
      </c>
      <c r="F15" s="8">
        <v>0</v>
      </c>
    </row>
    <row r="16" spans="1:6" x14ac:dyDescent="0.2">
      <c r="A16" s="59" t="s">
        <v>583</v>
      </c>
      <c r="B16" s="8">
        <v>9</v>
      </c>
      <c r="C16" s="8">
        <v>19</v>
      </c>
      <c r="D16" s="8">
        <v>19</v>
      </c>
      <c r="E16" s="11">
        <v>3.75</v>
      </c>
      <c r="F16" s="8">
        <v>0</v>
      </c>
    </row>
    <row r="17" spans="1:6" x14ac:dyDescent="0.2">
      <c r="A17" s="59" t="s">
        <v>584</v>
      </c>
      <c r="B17" s="8">
        <v>9</v>
      </c>
      <c r="C17" s="8">
        <v>19</v>
      </c>
      <c r="D17" s="8">
        <v>19</v>
      </c>
      <c r="E17" s="11">
        <v>3.9</v>
      </c>
      <c r="F17" s="8">
        <v>0</v>
      </c>
    </row>
    <row r="18" spans="1:6" x14ac:dyDescent="0.2">
      <c r="A18" s="59" t="s">
        <v>585</v>
      </c>
      <c r="B18" s="8">
        <v>9</v>
      </c>
      <c r="C18" s="8">
        <v>19</v>
      </c>
      <c r="D18" s="8">
        <v>19</v>
      </c>
      <c r="E18" s="11">
        <v>3.39</v>
      </c>
      <c r="F18" s="8">
        <v>0</v>
      </c>
    </row>
    <row r="19" spans="1:6" x14ac:dyDescent="0.2">
      <c r="A19" s="59" t="s">
        <v>586</v>
      </c>
      <c r="B19" s="8">
        <v>9</v>
      </c>
      <c r="C19" s="8">
        <v>19</v>
      </c>
      <c r="D19" s="8">
        <v>19</v>
      </c>
      <c r="E19" s="11">
        <v>4.2</v>
      </c>
      <c r="F19" s="8">
        <v>0</v>
      </c>
    </row>
    <row r="20" spans="1:6" x14ac:dyDescent="0.2">
      <c r="A20" s="59" t="s">
        <v>587</v>
      </c>
      <c r="B20" s="8">
        <v>9</v>
      </c>
      <c r="C20" s="8">
        <v>19</v>
      </c>
      <c r="D20" s="8">
        <v>19</v>
      </c>
      <c r="E20" s="11">
        <v>3.67</v>
      </c>
      <c r="F20" s="8">
        <v>0</v>
      </c>
    </row>
    <row r="21" spans="1:6" x14ac:dyDescent="0.2">
      <c r="A21" s="59" t="s">
        <v>588</v>
      </c>
      <c r="B21" s="8">
        <v>9</v>
      </c>
      <c r="C21" s="8">
        <v>19</v>
      </c>
      <c r="D21" s="8">
        <v>19</v>
      </c>
      <c r="E21" s="11">
        <v>3.83</v>
      </c>
      <c r="F21" s="8">
        <v>0</v>
      </c>
    </row>
    <row r="22" spans="1:6" x14ac:dyDescent="0.2">
      <c r="A22" s="59" t="s">
        <v>589</v>
      </c>
      <c r="B22" s="8">
        <v>9</v>
      </c>
      <c r="C22" s="8">
        <v>19</v>
      </c>
      <c r="D22" s="8">
        <v>19</v>
      </c>
      <c r="E22" s="11">
        <v>3.78</v>
      </c>
      <c r="F22" s="8">
        <v>0</v>
      </c>
    </row>
    <row r="23" spans="1:6" x14ac:dyDescent="0.2">
      <c r="A23" s="59" t="s">
        <v>590</v>
      </c>
      <c r="B23" s="8">
        <v>9</v>
      </c>
      <c r="C23" s="8">
        <v>19</v>
      </c>
      <c r="D23" s="8">
        <v>19</v>
      </c>
      <c r="E23" s="11">
        <v>3.57</v>
      </c>
      <c r="F23" s="8">
        <v>0</v>
      </c>
    </row>
    <row r="24" spans="1:6" x14ac:dyDescent="0.2">
      <c r="A24" s="59" t="s">
        <v>591</v>
      </c>
      <c r="B24" s="8">
        <v>9</v>
      </c>
      <c r="C24" s="8">
        <v>19</v>
      </c>
      <c r="D24" s="8">
        <v>19</v>
      </c>
      <c r="E24" s="11">
        <v>4.0999999999999996</v>
      </c>
      <c r="F24" s="8">
        <v>0</v>
      </c>
    </row>
    <row r="25" spans="1:6" x14ac:dyDescent="0.2">
      <c r="A25" s="59" t="s">
        <v>592</v>
      </c>
      <c r="B25" s="8">
        <v>9</v>
      </c>
      <c r="C25" s="8">
        <v>19</v>
      </c>
      <c r="D25" s="8">
        <v>19</v>
      </c>
      <c r="E25" s="11">
        <v>3.78</v>
      </c>
      <c r="F25" s="8">
        <v>0</v>
      </c>
    </row>
    <row r="26" spans="1:6" x14ac:dyDescent="0.2">
      <c r="A26" s="59" t="s">
        <v>593</v>
      </c>
      <c r="B26" s="8">
        <v>9</v>
      </c>
      <c r="C26" s="8">
        <v>19</v>
      </c>
      <c r="D26" s="8">
        <v>19</v>
      </c>
      <c r="E26" s="11">
        <v>3.76</v>
      </c>
      <c r="F26" s="8">
        <v>0</v>
      </c>
    </row>
    <row r="27" spans="1:6" x14ac:dyDescent="0.2">
      <c r="A27" s="59" t="s">
        <v>594</v>
      </c>
      <c r="B27" s="8">
        <v>9</v>
      </c>
      <c r="C27" s="8">
        <v>19</v>
      </c>
      <c r="D27" s="8">
        <v>19</v>
      </c>
      <c r="E27" s="11">
        <v>3.02</v>
      </c>
      <c r="F27" s="8">
        <v>0</v>
      </c>
    </row>
    <row r="28" spans="1:6" x14ac:dyDescent="0.2">
      <c r="A28" s="63" t="s">
        <v>595</v>
      </c>
      <c r="B28" s="64">
        <v>9</v>
      </c>
      <c r="C28" s="64">
        <v>19</v>
      </c>
      <c r="D28" s="64">
        <v>19</v>
      </c>
      <c r="E28" s="65">
        <v>3.54</v>
      </c>
      <c r="F28" s="64">
        <v>0</v>
      </c>
    </row>
    <row r="29" spans="1:6" x14ac:dyDescent="0.2">
      <c r="A29" s="166"/>
      <c r="B29" s="164"/>
      <c r="C29" s="164"/>
      <c r="D29" s="164"/>
      <c r="E29" s="164"/>
      <c r="F29" s="16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D40BB-1EA8-BD40-89B6-3A79573C1B5A}">
  <dimension ref="A1:G67"/>
  <sheetViews>
    <sheetView workbookViewId="0">
      <selection activeCell="J72" sqref="J72"/>
    </sheetView>
  </sheetViews>
  <sheetFormatPr baseColWidth="10" defaultRowHeight="16" x14ac:dyDescent="0.2"/>
  <cols>
    <col min="1" max="1" width="15.83203125" style="16" bestFit="1" customWidth="1"/>
    <col min="2" max="2" width="10.83203125" style="16"/>
    <col min="3" max="3" width="16" style="16" bestFit="1" customWidth="1"/>
    <col min="4" max="4" width="18.1640625" style="16" bestFit="1" customWidth="1"/>
    <col min="5" max="5" width="10.83203125" style="16"/>
    <col min="6" max="6" width="13.6640625" style="16" bestFit="1" customWidth="1"/>
    <col min="7" max="7" width="21.5" style="16" bestFit="1" customWidth="1"/>
    <col min="8" max="16384" width="10.83203125" style="16"/>
  </cols>
  <sheetData>
    <row r="1" spans="1:7" x14ac:dyDescent="0.2">
      <c r="A1" s="14" t="s">
        <v>1</v>
      </c>
      <c r="B1" s="14" t="s">
        <v>4</v>
      </c>
      <c r="C1" s="14" t="s">
        <v>56</v>
      </c>
      <c r="D1" s="14" t="s">
        <v>57</v>
      </c>
      <c r="E1" s="14" t="s">
        <v>39</v>
      </c>
      <c r="F1" s="14" t="s">
        <v>40</v>
      </c>
      <c r="G1" s="14" t="s">
        <v>41</v>
      </c>
    </row>
    <row r="2" spans="1:7" x14ac:dyDescent="0.2">
      <c r="A2" s="59" t="s">
        <v>596</v>
      </c>
      <c r="B2" s="8">
        <v>5</v>
      </c>
      <c r="C2" s="8">
        <v>45</v>
      </c>
      <c r="D2" s="8">
        <v>21</v>
      </c>
      <c r="E2" s="8" t="s">
        <v>297</v>
      </c>
      <c r="F2" s="6"/>
      <c r="G2" s="6"/>
    </row>
    <row r="3" spans="1:7" x14ac:dyDescent="0.2">
      <c r="A3" s="59" t="s">
        <v>597</v>
      </c>
      <c r="B3" s="8">
        <v>5</v>
      </c>
      <c r="C3" s="8">
        <v>45</v>
      </c>
      <c r="D3" s="8">
        <v>21</v>
      </c>
      <c r="E3" s="8" t="s">
        <v>297</v>
      </c>
      <c r="F3" s="6"/>
      <c r="G3" s="6"/>
    </row>
    <row r="4" spans="1:7" x14ac:dyDescent="0.2">
      <c r="A4" s="59" t="s">
        <v>598</v>
      </c>
      <c r="B4" s="8">
        <v>5</v>
      </c>
      <c r="C4" s="8">
        <v>45</v>
      </c>
      <c r="D4" s="8">
        <v>21</v>
      </c>
      <c r="E4" s="8" t="s">
        <v>297</v>
      </c>
      <c r="F4" s="6"/>
      <c r="G4" s="6"/>
    </row>
    <row r="5" spans="1:7" x14ac:dyDescent="0.2">
      <c r="A5" s="59" t="s">
        <v>599</v>
      </c>
      <c r="B5" s="8">
        <v>5</v>
      </c>
      <c r="C5" s="8">
        <v>45</v>
      </c>
      <c r="D5" s="8">
        <v>21</v>
      </c>
      <c r="E5" s="8" t="s">
        <v>297</v>
      </c>
      <c r="F5" s="6"/>
      <c r="G5" s="6"/>
    </row>
    <row r="6" spans="1:7" x14ac:dyDescent="0.2">
      <c r="A6" s="59" t="s">
        <v>600</v>
      </c>
      <c r="B6" s="8">
        <v>5</v>
      </c>
      <c r="C6" s="8">
        <v>45</v>
      </c>
      <c r="D6" s="8">
        <v>21</v>
      </c>
      <c r="E6" s="8" t="s">
        <v>297</v>
      </c>
      <c r="F6" s="6"/>
      <c r="G6" s="6"/>
    </row>
    <row r="7" spans="1:7" x14ac:dyDescent="0.2">
      <c r="A7" s="59" t="s">
        <v>601</v>
      </c>
      <c r="B7" s="8">
        <v>5</v>
      </c>
      <c r="C7" s="8">
        <v>45</v>
      </c>
      <c r="D7" s="8">
        <v>21</v>
      </c>
      <c r="E7" s="8" t="s">
        <v>297</v>
      </c>
      <c r="F7" s="6"/>
      <c r="G7" s="6"/>
    </row>
    <row r="8" spans="1:7" x14ac:dyDescent="0.2">
      <c r="A8" s="59" t="s">
        <v>602</v>
      </c>
      <c r="B8" s="8">
        <v>5</v>
      </c>
      <c r="C8" s="8">
        <v>45</v>
      </c>
      <c r="D8" s="8">
        <v>21</v>
      </c>
      <c r="E8" s="8" t="s">
        <v>297</v>
      </c>
      <c r="F8" s="6"/>
      <c r="G8" s="6"/>
    </row>
    <row r="9" spans="1:7" x14ac:dyDescent="0.2">
      <c r="A9" s="59" t="s">
        <v>603</v>
      </c>
      <c r="B9" s="8">
        <v>5</v>
      </c>
      <c r="C9" s="8">
        <v>45</v>
      </c>
      <c r="D9" s="8">
        <v>21</v>
      </c>
      <c r="E9" s="8" t="s">
        <v>297</v>
      </c>
      <c r="F9" s="6"/>
      <c r="G9" s="6"/>
    </row>
    <row r="10" spans="1:7" x14ac:dyDescent="0.2">
      <c r="A10" s="59" t="s">
        <v>604</v>
      </c>
      <c r="B10" s="8">
        <v>5</v>
      </c>
      <c r="C10" s="8">
        <v>45</v>
      </c>
      <c r="D10" s="8">
        <v>21</v>
      </c>
      <c r="E10" s="8" t="s">
        <v>297</v>
      </c>
      <c r="F10" s="6"/>
      <c r="G10" s="6"/>
    </row>
    <row r="11" spans="1:7" x14ac:dyDescent="0.2">
      <c r="A11" s="59" t="s">
        <v>605</v>
      </c>
      <c r="B11" s="8">
        <v>5</v>
      </c>
      <c r="C11" s="8">
        <v>45</v>
      </c>
      <c r="D11" s="8">
        <v>21</v>
      </c>
      <c r="E11" s="8" t="s">
        <v>297</v>
      </c>
      <c r="F11" s="6"/>
      <c r="G11" s="6"/>
    </row>
    <row r="12" spans="1:7" x14ac:dyDescent="0.2">
      <c r="A12" s="59" t="s">
        <v>606</v>
      </c>
      <c r="B12" s="8">
        <v>5</v>
      </c>
      <c r="C12" s="8">
        <v>45</v>
      </c>
      <c r="D12" s="8">
        <v>21</v>
      </c>
      <c r="E12" s="8" t="s">
        <v>297</v>
      </c>
      <c r="F12" s="6"/>
      <c r="G12" s="6"/>
    </row>
    <row r="13" spans="1:7" x14ac:dyDescent="0.2">
      <c r="A13" s="59" t="s">
        <v>607</v>
      </c>
      <c r="B13" s="8">
        <v>5</v>
      </c>
      <c r="C13" s="8">
        <v>45</v>
      </c>
      <c r="D13" s="8">
        <v>21</v>
      </c>
      <c r="E13" s="8" t="s">
        <v>297</v>
      </c>
      <c r="F13" s="6"/>
      <c r="G13" s="6"/>
    </row>
    <row r="14" spans="1:7" x14ac:dyDescent="0.2">
      <c r="A14" s="59" t="s">
        <v>608</v>
      </c>
      <c r="B14" s="8">
        <v>5</v>
      </c>
      <c r="C14" s="8">
        <v>45</v>
      </c>
      <c r="D14" s="8">
        <v>21</v>
      </c>
      <c r="E14" s="8" t="s">
        <v>297</v>
      </c>
      <c r="F14" s="6"/>
      <c r="G14" s="6"/>
    </row>
    <row r="15" spans="1:7" x14ac:dyDescent="0.2">
      <c r="A15" s="59" t="s">
        <v>609</v>
      </c>
      <c r="B15" s="8">
        <v>5</v>
      </c>
      <c r="C15" s="8">
        <v>45</v>
      </c>
      <c r="D15" s="8">
        <v>21</v>
      </c>
      <c r="E15" s="8" t="s">
        <v>297</v>
      </c>
      <c r="F15" s="6"/>
      <c r="G15" s="6"/>
    </row>
    <row r="16" spans="1:7" x14ac:dyDescent="0.2">
      <c r="A16" s="59" t="s">
        <v>610</v>
      </c>
      <c r="B16" s="8">
        <v>5</v>
      </c>
      <c r="C16" s="8">
        <v>45</v>
      </c>
      <c r="D16" s="8">
        <v>21</v>
      </c>
      <c r="E16" s="8" t="s">
        <v>297</v>
      </c>
      <c r="F16" s="6"/>
      <c r="G16" s="6"/>
    </row>
    <row r="17" spans="1:7" x14ac:dyDescent="0.2">
      <c r="A17" s="59" t="s">
        <v>611</v>
      </c>
      <c r="B17" s="8">
        <v>5</v>
      </c>
      <c r="C17" s="8">
        <v>45</v>
      </c>
      <c r="D17" s="8">
        <v>21</v>
      </c>
      <c r="E17" s="8" t="s">
        <v>297</v>
      </c>
      <c r="F17" s="6"/>
      <c r="G17" s="6"/>
    </row>
    <row r="18" spans="1:7" x14ac:dyDescent="0.2">
      <c r="A18" s="59" t="s">
        <v>612</v>
      </c>
      <c r="B18" s="8">
        <v>5</v>
      </c>
      <c r="C18" s="8">
        <v>45</v>
      </c>
      <c r="D18" s="8">
        <v>21</v>
      </c>
      <c r="E18" s="8" t="s">
        <v>297</v>
      </c>
      <c r="F18" s="6"/>
      <c r="G18" s="6"/>
    </row>
    <row r="19" spans="1:7" x14ac:dyDescent="0.2">
      <c r="A19" s="59" t="s">
        <v>613</v>
      </c>
      <c r="B19" s="8">
        <v>5</v>
      </c>
      <c r="C19" s="8">
        <v>45</v>
      </c>
      <c r="D19" s="8">
        <v>21</v>
      </c>
      <c r="E19" s="8" t="s">
        <v>297</v>
      </c>
      <c r="F19" s="6"/>
      <c r="G19" s="6"/>
    </row>
    <row r="20" spans="1:7" x14ac:dyDescent="0.2">
      <c r="A20" s="59" t="s">
        <v>614</v>
      </c>
      <c r="B20" s="8">
        <v>5</v>
      </c>
      <c r="C20" s="8">
        <v>45</v>
      </c>
      <c r="D20" s="8">
        <v>21</v>
      </c>
      <c r="E20" s="8" t="s">
        <v>297</v>
      </c>
      <c r="F20" s="6"/>
      <c r="G20" s="6"/>
    </row>
    <row r="21" spans="1:7" x14ac:dyDescent="0.2">
      <c r="A21" s="59" t="s">
        <v>615</v>
      </c>
      <c r="B21" s="8">
        <v>5</v>
      </c>
      <c r="C21" s="8">
        <v>45</v>
      </c>
      <c r="D21" s="8">
        <v>21</v>
      </c>
      <c r="E21" s="8" t="s">
        <v>297</v>
      </c>
      <c r="F21" s="6"/>
      <c r="G21" s="6"/>
    </row>
    <row r="22" spans="1:7" x14ac:dyDescent="0.2">
      <c r="A22" s="59" t="s">
        <v>616</v>
      </c>
      <c r="B22" s="8">
        <v>5</v>
      </c>
      <c r="C22" s="8">
        <v>45</v>
      </c>
      <c r="D22" s="8">
        <v>21</v>
      </c>
      <c r="E22" s="8" t="s">
        <v>297</v>
      </c>
      <c r="F22" s="6"/>
      <c r="G22" s="6"/>
    </row>
    <row r="23" spans="1:7" x14ac:dyDescent="0.2">
      <c r="A23" s="59" t="s">
        <v>617</v>
      </c>
      <c r="B23" s="8">
        <v>5</v>
      </c>
      <c r="C23" s="8">
        <v>45</v>
      </c>
      <c r="D23" s="8">
        <v>21</v>
      </c>
      <c r="E23" s="8" t="s">
        <v>297</v>
      </c>
      <c r="F23" s="6"/>
      <c r="G23" s="6"/>
    </row>
    <row r="24" spans="1:7" x14ac:dyDescent="0.2">
      <c r="A24" s="59" t="s">
        <v>618</v>
      </c>
      <c r="B24" s="8">
        <v>5</v>
      </c>
      <c r="C24" s="8">
        <v>45</v>
      </c>
      <c r="D24" s="8">
        <v>21</v>
      </c>
      <c r="E24" s="8" t="s">
        <v>297</v>
      </c>
      <c r="F24" s="6"/>
      <c r="G24" s="6"/>
    </row>
    <row r="25" spans="1:7" x14ac:dyDescent="0.2">
      <c r="A25" s="59" t="s">
        <v>619</v>
      </c>
      <c r="B25" s="8">
        <v>5</v>
      </c>
      <c r="C25" s="8">
        <v>45</v>
      </c>
      <c r="D25" s="8">
        <v>21</v>
      </c>
      <c r="E25" s="8" t="s">
        <v>297</v>
      </c>
      <c r="F25" s="6"/>
      <c r="G25" s="6"/>
    </row>
    <row r="26" spans="1:7" x14ac:dyDescent="0.2">
      <c r="A26" s="59" t="s">
        <v>620</v>
      </c>
      <c r="B26" s="8">
        <v>5</v>
      </c>
      <c r="C26" s="8">
        <v>45</v>
      </c>
      <c r="D26" s="8">
        <v>21</v>
      </c>
      <c r="E26" s="8" t="s">
        <v>297</v>
      </c>
      <c r="F26" s="6"/>
      <c r="G26" s="6"/>
    </row>
    <row r="27" spans="1:7" x14ac:dyDescent="0.2">
      <c r="A27" s="59" t="s">
        <v>621</v>
      </c>
      <c r="B27" s="8">
        <v>5</v>
      </c>
      <c r="C27" s="8">
        <v>45</v>
      </c>
      <c r="D27" s="8">
        <v>21</v>
      </c>
      <c r="E27" s="8" t="s">
        <v>297</v>
      </c>
      <c r="F27" s="6"/>
      <c r="G27" s="6"/>
    </row>
    <row r="28" spans="1:7" x14ac:dyDescent="0.2">
      <c r="A28" s="59" t="s">
        <v>622</v>
      </c>
      <c r="B28" s="8">
        <v>5</v>
      </c>
      <c r="C28" s="8">
        <v>45</v>
      </c>
      <c r="D28" s="8">
        <v>21</v>
      </c>
      <c r="E28" s="8" t="s">
        <v>297</v>
      </c>
      <c r="F28" s="6"/>
      <c r="G28" s="6"/>
    </row>
    <row r="29" spans="1:7" x14ac:dyDescent="0.2">
      <c r="A29" s="59" t="s">
        <v>623</v>
      </c>
      <c r="B29" s="8">
        <v>5</v>
      </c>
      <c r="C29" s="8">
        <v>45</v>
      </c>
      <c r="D29" s="8">
        <v>21</v>
      </c>
      <c r="E29" s="8" t="s">
        <v>297</v>
      </c>
      <c r="F29" s="6"/>
      <c r="G29" s="6"/>
    </row>
    <row r="30" spans="1:7" x14ac:dyDescent="0.2">
      <c r="A30" s="59" t="s">
        <v>624</v>
      </c>
      <c r="B30" s="8">
        <v>5</v>
      </c>
      <c r="C30" s="8">
        <v>45</v>
      </c>
      <c r="D30" s="8">
        <v>21</v>
      </c>
      <c r="E30" s="8" t="s">
        <v>297</v>
      </c>
      <c r="F30" s="6"/>
      <c r="G30" s="6"/>
    </row>
    <row r="31" spans="1:7" x14ac:dyDescent="0.2">
      <c r="A31" s="59" t="s">
        <v>625</v>
      </c>
      <c r="B31" s="8">
        <v>5</v>
      </c>
      <c r="C31" s="8">
        <v>45</v>
      </c>
      <c r="D31" s="8">
        <v>21</v>
      </c>
      <c r="E31" s="8" t="s">
        <v>297</v>
      </c>
      <c r="F31" s="6"/>
      <c r="G31" s="6"/>
    </row>
    <row r="32" spans="1:7" x14ac:dyDescent="0.2">
      <c r="A32" s="59" t="s">
        <v>626</v>
      </c>
      <c r="B32" s="8">
        <v>5</v>
      </c>
      <c r="C32" s="8">
        <v>45</v>
      </c>
      <c r="D32" s="8">
        <v>21</v>
      </c>
      <c r="E32" s="8" t="s">
        <v>297</v>
      </c>
      <c r="F32" s="6"/>
      <c r="G32" s="6"/>
    </row>
    <row r="33" spans="1:7" x14ac:dyDescent="0.2">
      <c r="A33" s="59" t="s">
        <v>627</v>
      </c>
      <c r="B33" s="8">
        <v>5</v>
      </c>
      <c r="C33" s="8">
        <v>45</v>
      </c>
      <c r="D33" s="8">
        <v>21</v>
      </c>
      <c r="E33" s="8" t="s">
        <v>297</v>
      </c>
      <c r="F33" s="6"/>
      <c r="G33" s="6"/>
    </row>
    <row r="34" spans="1:7" x14ac:dyDescent="0.2">
      <c r="A34" s="59" t="s">
        <v>628</v>
      </c>
      <c r="B34" s="8">
        <v>5</v>
      </c>
      <c r="C34" s="8">
        <v>45</v>
      </c>
      <c r="D34" s="8">
        <v>21</v>
      </c>
      <c r="E34" s="8" t="s">
        <v>297</v>
      </c>
      <c r="F34" s="6"/>
      <c r="G34" s="6"/>
    </row>
    <row r="35" spans="1:7" x14ac:dyDescent="0.2">
      <c r="A35" s="59" t="s">
        <v>629</v>
      </c>
      <c r="B35" s="8">
        <v>5</v>
      </c>
      <c r="C35" s="8">
        <v>45</v>
      </c>
      <c r="D35" s="8">
        <v>21</v>
      </c>
      <c r="E35" s="8" t="s">
        <v>297</v>
      </c>
      <c r="F35" s="6"/>
      <c r="G35" s="6"/>
    </row>
    <row r="36" spans="1:7" x14ac:dyDescent="0.2">
      <c r="A36" s="59" t="s">
        <v>630</v>
      </c>
      <c r="B36" s="8">
        <v>5</v>
      </c>
      <c r="C36" s="8">
        <v>45</v>
      </c>
      <c r="D36" s="8">
        <v>21</v>
      </c>
      <c r="E36" s="8" t="s">
        <v>297</v>
      </c>
      <c r="F36" s="6"/>
      <c r="G36" s="6"/>
    </row>
    <row r="37" spans="1:7" x14ac:dyDescent="0.2">
      <c r="A37" s="63" t="s">
        <v>631</v>
      </c>
      <c r="B37" s="167">
        <v>5</v>
      </c>
      <c r="C37" s="167">
        <v>45</v>
      </c>
      <c r="D37" s="167">
        <v>21</v>
      </c>
      <c r="E37" s="167" t="s">
        <v>297</v>
      </c>
      <c r="F37" s="168"/>
      <c r="G37" s="168"/>
    </row>
    <row r="38" spans="1:7" x14ac:dyDescent="0.2">
      <c r="A38" s="164"/>
      <c r="B38" s="164"/>
      <c r="C38" s="164"/>
      <c r="D38" s="164"/>
      <c r="E38" s="164"/>
      <c r="F38" s="164"/>
      <c r="G38" s="165"/>
    </row>
    <row r="39" spans="1:7" x14ac:dyDescent="0.2">
      <c r="A39" s="169" t="s">
        <v>634</v>
      </c>
      <c r="B39" s="170">
        <v>10</v>
      </c>
      <c r="C39" s="170">
        <v>21</v>
      </c>
      <c r="D39" s="170">
        <v>20</v>
      </c>
      <c r="E39" s="170">
        <v>1.67E-2</v>
      </c>
      <c r="F39" s="170">
        <v>2</v>
      </c>
      <c r="G39" s="171">
        <v>0</v>
      </c>
    </row>
    <row r="40" spans="1:7" x14ac:dyDescent="0.2">
      <c r="A40" s="63" t="s">
        <v>635</v>
      </c>
      <c r="B40" s="167">
        <v>10</v>
      </c>
      <c r="C40" s="167">
        <v>21</v>
      </c>
      <c r="D40" s="167">
        <v>20</v>
      </c>
      <c r="E40" s="167">
        <v>1.1000000000000001E-3</v>
      </c>
      <c r="F40" s="167">
        <v>2</v>
      </c>
      <c r="G40" s="168">
        <v>0</v>
      </c>
    </row>
    <row r="41" spans="1:7" x14ac:dyDescent="0.2">
      <c r="A41" s="164"/>
      <c r="B41" s="164"/>
      <c r="C41" s="164"/>
      <c r="D41" s="164"/>
      <c r="E41" s="164"/>
      <c r="F41" s="164"/>
      <c r="G41" s="165"/>
    </row>
    <row r="42" spans="1:7" x14ac:dyDescent="0.2">
      <c r="A42" s="169" t="s">
        <v>636</v>
      </c>
      <c r="B42" s="171">
        <v>22</v>
      </c>
      <c r="C42" s="170">
        <v>47</v>
      </c>
      <c r="D42" s="170">
        <v>21</v>
      </c>
      <c r="E42" s="172" t="s">
        <v>637</v>
      </c>
      <c r="F42" s="171">
        <v>2</v>
      </c>
      <c r="G42" s="171">
        <v>0</v>
      </c>
    </row>
    <row r="43" spans="1:7" x14ac:dyDescent="0.2">
      <c r="A43" s="63" t="s">
        <v>638</v>
      </c>
      <c r="B43" s="168">
        <v>22</v>
      </c>
      <c r="C43" s="167">
        <v>47</v>
      </c>
      <c r="D43" s="167">
        <v>21</v>
      </c>
      <c r="E43" s="63" t="s">
        <v>327</v>
      </c>
      <c r="F43" s="168">
        <v>2</v>
      </c>
      <c r="G43" s="168">
        <v>0</v>
      </c>
    </row>
    <row r="44" spans="1:7" x14ac:dyDescent="0.2">
      <c r="A44" s="96"/>
      <c r="B44" s="164"/>
      <c r="C44" s="97"/>
      <c r="D44" s="97"/>
      <c r="E44" s="96"/>
      <c r="F44" s="164"/>
      <c r="G44" s="165"/>
    </row>
    <row r="45" spans="1:7" x14ac:dyDescent="0.2">
      <c r="A45" s="169" t="s">
        <v>639</v>
      </c>
      <c r="B45" s="171">
        <v>24</v>
      </c>
      <c r="C45" s="170">
        <v>26</v>
      </c>
      <c r="D45" s="170">
        <v>22</v>
      </c>
      <c r="E45" s="173">
        <v>0.35</v>
      </c>
      <c r="F45" s="171">
        <v>2</v>
      </c>
      <c r="G45" s="171">
        <v>0</v>
      </c>
    </row>
    <row r="46" spans="1:7" x14ac:dyDescent="0.2">
      <c r="A46" s="63" t="s">
        <v>640</v>
      </c>
      <c r="B46" s="168">
        <v>24</v>
      </c>
      <c r="C46" s="167">
        <v>26</v>
      </c>
      <c r="D46" s="167">
        <v>22</v>
      </c>
      <c r="E46" s="174">
        <v>8.8999999999999996E-2</v>
      </c>
      <c r="F46" s="168">
        <v>2</v>
      </c>
      <c r="G46" s="168">
        <v>1</v>
      </c>
    </row>
    <row r="47" spans="1:7" x14ac:dyDescent="0.2">
      <c r="A47" s="96"/>
      <c r="B47" s="164"/>
      <c r="C47" s="97"/>
      <c r="D47" s="97"/>
      <c r="E47" s="97"/>
      <c r="F47" s="164"/>
      <c r="G47" s="165"/>
    </row>
    <row r="48" spans="1:7" x14ac:dyDescent="0.2">
      <c r="A48" s="169" t="s">
        <v>641</v>
      </c>
      <c r="B48" s="170">
        <v>25</v>
      </c>
      <c r="C48" s="170">
        <v>45</v>
      </c>
      <c r="D48" s="170">
        <v>40</v>
      </c>
      <c r="E48" s="175">
        <v>5.0000000000000001E-3</v>
      </c>
      <c r="F48" s="170">
        <v>2</v>
      </c>
      <c r="G48" s="171">
        <v>0</v>
      </c>
    </row>
    <row r="49" spans="1:7" x14ac:dyDescent="0.2">
      <c r="A49" s="59" t="s">
        <v>642</v>
      </c>
      <c r="B49" s="60">
        <v>25</v>
      </c>
      <c r="C49" s="60">
        <v>45</v>
      </c>
      <c r="D49" s="60">
        <v>40</v>
      </c>
      <c r="E49" s="62">
        <v>1.4999999999999999E-2</v>
      </c>
      <c r="F49" s="60">
        <v>2</v>
      </c>
      <c r="G49" s="61">
        <v>0</v>
      </c>
    </row>
    <row r="50" spans="1:7" x14ac:dyDescent="0.2">
      <c r="A50" s="59" t="s">
        <v>643</v>
      </c>
      <c r="B50" s="60">
        <v>25</v>
      </c>
      <c r="C50" s="60">
        <v>45</v>
      </c>
      <c r="D50" s="60">
        <v>40</v>
      </c>
      <c r="E50" s="62">
        <v>3.7999999999999999E-2</v>
      </c>
      <c r="F50" s="60">
        <v>2</v>
      </c>
      <c r="G50" s="61">
        <v>0</v>
      </c>
    </row>
    <row r="51" spans="1:7" x14ac:dyDescent="0.2">
      <c r="A51" s="63" t="s">
        <v>644</v>
      </c>
      <c r="B51" s="167">
        <v>25</v>
      </c>
      <c r="C51" s="167">
        <v>45</v>
      </c>
      <c r="D51" s="167">
        <v>40</v>
      </c>
      <c r="E51" s="174">
        <v>3.6999999999999998E-2</v>
      </c>
      <c r="F51" s="167">
        <v>2</v>
      </c>
      <c r="G51" s="168">
        <v>0</v>
      </c>
    </row>
    <row r="52" spans="1:7" x14ac:dyDescent="0.2">
      <c r="A52" s="164"/>
      <c r="B52" s="164"/>
      <c r="C52" s="164"/>
      <c r="D52" s="164"/>
      <c r="E52" s="164"/>
      <c r="F52" s="164"/>
      <c r="G52" s="165"/>
    </row>
    <row r="53" spans="1:7" x14ac:dyDescent="0.2">
      <c r="A53" s="169" t="s">
        <v>645</v>
      </c>
      <c r="B53" s="170">
        <v>26</v>
      </c>
      <c r="C53" s="170">
        <v>24</v>
      </c>
      <c r="D53" s="170">
        <v>39</v>
      </c>
      <c r="E53" s="175">
        <v>5.0000000000000001E-3</v>
      </c>
      <c r="F53" s="171">
        <v>2</v>
      </c>
      <c r="G53" s="171">
        <v>0</v>
      </c>
    </row>
    <row r="54" spans="1:7" x14ac:dyDescent="0.2">
      <c r="A54" s="63" t="s">
        <v>646</v>
      </c>
      <c r="B54" s="167">
        <v>26</v>
      </c>
      <c r="C54" s="167">
        <v>24</v>
      </c>
      <c r="D54" s="167">
        <v>39</v>
      </c>
      <c r="E54" s="176">
        <v>0.48</v>
      </c>
      <c r="F54" s="168">
        <v>2</v>
      </c>
      <c r="G54" s="168">
        <v>1</v>
      </c>
    </row>
    <row r="55" spans="1:7" x14ac:dyDescent="0.2">
      <c r="A55" s="164"/>
      <c r="B55" s="164"/>
      <c r="C55" s="164"/>
      <c r="D55" s="164"/>
      <c r="E55" s="164"/>
      <c r="F55" s="164"/>
      <c r="G55" s="165"/>
    </row>
    <row r="56" spans="1:7" x14ac:dyDescent="0.2">
      <c r="A56" s="169" t="s">
        <v>647</v>
      </c>
      <c r="B56" s="170">
        <v>31</v>
      </c>
      <c r="C56" s="170">
        <v>20</v>
      </c>
      <c r="D56" s="170">
        <v>10</v>
      </c>
      <c r="E56" s="169" t="s">
        <v>297</v>
      </c>
      <c r="F56" s="170">
        <v>2</v>
      </c>
      <c r="G56" s="171"/>
    </row>
    <row r="57" spans="1:7" x14ac:dyDescent="0.2">
      <c r="A57" s="63" t="s">
        <v>648</v>
      </c>
      <c r="B57" s="167">
        <v>31</v>
      </c>
      <c r="C57" s="167">
        <v>20</v>
      </c>
      <c r="D57" s="167">
        <v>10</v>
      </c>
      <c r="E57" s="63" t="s">
        <v>297</v>
      </c>
      <c r="F57" s="167">
        <v>2</v>
      </c>
      <c r="G57" s="168"/>
    </row>
    <row r="58" spans="1:7" x14ac:dyDescent="0.2">
      <c r="A58" s="164"/>
      <c r="B58" s="164"/>
      <c r="C58" s="164"/>
      <c r="D58" s="164"/>
      <c r="E58" s="164"/>
      <c r="F58" s="164"/>
      <c r="G58" s="165"/>
    </row>
    <row r="59" spans="1:7" x14ac:dyDescent="0.2">
      <c r="A59" s="169" t="s">
        <v>649</v>
      </c>
      <c r="B59" s="170">
        <v>32</v>
      </c>
      <c r="C59" s="170">
        <v>15</v>
      </c>
      <c r="D59" s="170">
        <v>20</v>
      </c>
      <c r="E59" s="169" t="s">
        <v>650</v>
      </c>
      <c r="F59" s="171">
        <v>2</v>
      </c>
      <c r="G59" s="171">
        <v>1</v>
      </c>
    </row>
    <row r="60" spans="1:7" x14ac:dyDescent="0.2">
      <c r="A60" s="59" t="s">
        <v>651</v>
      </c>
      <c r="B60" s="60">
        <v>32</v>
      </c>
      <c r="C60" s="60">
        <v>15</v>
      </c>
      <c r="D60" s="60">
        <v>20</v>
      </c>
      <c r="E60" s="59" t="s">
        <v>650</v>
      </c>
      <c r="F60" s="61">
        <v>2</v>
      </c>
      <c r="G60" s="61">
        <v>1</v>
      </c>
    </row>
    <row r="61" spans="1:7" x14ac:dyDescent="0.2">
      <c r="A61" s="59" t="s">
        <v>652</v>
      </c>
      <c r="B61" s="60">
        <v>32</v>
      </c>
      <c r="C61" s="60">
        <v>15</v>
      </c>
      <c r="D61" s="60">
        <v>20</v>
      </c>
      <c r="E61" s="59" t="s">
        <v>297</v>
      </c>
      <c r="F61" s="61">
        <v>2</v>
      </c>
      <c r="G61" s="61">
        <v>0</v>
      </c>
    </row>
    <row r="62" spans="1:7" x14ac:dyDescent="0.2">
      <c r="A62" s="59" t="s">
        <v>653</v>
      </c>
      <c r="B62" s="60">
        <v>32</v>
      </c>
      <c r="C62" s="60">
        <v>15</v>
      </c>
      <c r="D62" s="60">
        <v>20</v>
      </c>
      <c r="E62" s="59" t="s">
        <v>297</v>
      </c>
      <c r="F62" s="61">
        <v>2</v>
      </c>
      <c r="G62" s="61">
        <v>0</v>
      </c>
    </row>
    <row r="63" spans="1:7" x14ac:dyDescent="0.2">
      <c r="A63" s="59" t="s">
        <v>654</v>
      </c>
      <c r="B63" s="60">
        <v>32</v>
      </c>
      <c r="C63" s="60">
        <v>20</v>
      </c>
      <c r="D63" s="60">
        <v>20</v>
      </c>
      <c r="E63" s="59" t="s">
        <v>650</v>
      </c>
      <c r="F63" s="61">
        <v>2</v>
      </c>
      <c r="G63" s="61">
        <v>1</v>
      </c>
    </row>
    <row r="64" spans="1:7" x14ac:dyDescent="0.2">
      <c r="A64" s="59" t="s">
        <v>655</v>
      </c>
      <c r="B64" s="60">
        <v>32</v>
      </c>
      <c r="C64" s="60">
        <v>20</v>
      </c>
      <c r="D64" s="60">
        <v>20</v>
      </c>
      <c r="E64" s="59" t="s">
        <v>650</v>
      </c>
      <c r="F64" s="61">
        <v>2</v>
      </c>
      <c r="G64" s="61">
        <v>1</v>
      </c>
    </row>
    <row r="65" spans="1:7" x14ac:dyDescent="0.2">
      <c r="A65" s="59" t="s">
        <v>656</v>
      </c>
      <c r="B65" s="60">
        <v>32</v>
      </c>
      <c r="C65" s="60">
        <v>20</v>
      </c>
      <c r="D65" s="60">
        <v>20</v>
      </c>
      <c r="E65" s="59" t="s">
        <v>297</v>
      </c>
      <c r="F65" s="61">
        <v>2</v>
      </c>
      <c r="G65" s="61">
        <v>1</v>
      </c>
    </row>
    <row r="66" spans="1:7" x14ac:dyDescent="0.2">
      <c r="A66" s="63" t="s">
        <v>657</v>
      </c>
      <c r="B66" s="167">
        <v>32</v>
      </c>
      <c r="C66" s="167">
        <v>20</v>
      </c>
      <c r="D66" s="167">
        <v>20</v>
      </c>
      <c r="E66" s="63" t="s">
        <v>297</v>
      </c>
      <c r="F66" s="168">
        <v>2</v>
      </c>
      <c r="G66" s="168">
        <v>0</v>
      </c>
    </row>
    <row r="67" spans="1:7" x14ac:dyDescent="0.2">
      <c r="A67" s="164"/>
      <c r="B67" s="164"/>
      <c r="C67" s="164"/>
      <c r="D67" s="164"/>
      <c r="E67" s="164"/>
      <c r="F67" s="164"/>
      <c r="G67" s="16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1D00D-8B61-1741-BED9-4D9D90DB78FC}">
  <dimension ref="A1:B3"/>
  <sheetViews>
    <sheetView workbookViewId="0">
      <selection activeCell="A2" sqref="A2"/>
    </sheetView>
  </sheetViews>
  <sheetFormatPr baseColWidth="10" defaultRowHeight="16" x14ac:dyDescent="0.2"/>
  <cols>
    <col min="1" max="16384" width="10.83203125" style="16"/>
  </cols>
  <sheetData>
    <row r="1" spans="1:2" x14ac:dyDescent="0.2">
      <c r="A1" s="17" t="s">
        <v>658</v>
      </c>
      <c r="B1" s="17"/>
    </row>
    <row r="2" spans="1:2" customFormat="1" x14ac:dyDescent="0.2">
      <c r="A2" t="s">
        <v>659</v>
      </c>
    </row>
    <row r="3" spans="1:2" customFormat="1" x14ac:dyDescent="0.2">
      <c r="A3" t="s">
        <v>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means, sd</vt:lpstr>
      <vt:lpstr>n size, t</vt:lpstr>
      <vt:lpstr>n size, p</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Cooper, Elena</dc:creator>
  <cp:lastModifiedBy>Cooper, Elena</cp:lastModifiedBy>
  <dcterms:created xsi:type="dcterms:W3CDTF">2026-04-06T14:20:17Z</dcterms:created>
  <dcterms:modified xsi:type="dcterms:W3CDTF">2026-10-20T23:18:10Z</dcterms:modified>
</cp:coreProperties>
</file>